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socialmedia_project\manikantaduddeda\"/>
    </mc:Choice>
  </mc:AlternateContent>
  <xr:revisionPtr revIDLastSave="0" documentId="13_ncr:1_{6E20C80C-6209-4753-9945-B737B15E6B02}" xr6:coauthVersionLast="47" xr6:coauthVersionMax="47" xr10:uidLastSave="{00000000-0000-0000-0000-000000000000}"/>
  <bookViews>
    <workbookView xWindow="-100" yWindow="-100" windowWidth="21467" windowHeight="11443" firstSheet="2" activeTab="6" xr2:uid="{C887C2A2-F512-4DDD-8B70-71C677413B00}"/>
  </bookViews>
  <sheets>
    <sheet name="Cleaned_Posts_Data" sheetId="1" r:id="rId1"/>
    <sheet name="Engagement_Calculations" sheetId="2" r:id="rId2"/>
    <sheet name="Pivot_Analysis" sheetId="5" r:id="rId3"/>
    <sheet name="Pivot_Analysis_2" sheetId="6" r:id="rId4"/>
    <sheet name="Hashtag click" sheetId="7" r:id="rId5"/>
    <sheet name="Pivot_Analysis_3" sheetId="8" r:id="rId6"/>
    <sheet name="Insights_Task2" sheetId="4" r:id="rId7"/>
  </sheet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6" i="2" l="1"/>
  <c r="K48" i="2"/>
  <c r="K161" i="2"/>
  <c r="K181" i="2"/>
  <c r="K66" i="2"/>
  <c r="K208" i="2"/>
  <c r="K65" i="2"/>
  <c r="K126" i="2"/>
  <c r="K80" i="2"/>
  <c r="K70" i="2"/>
  <c r="K115" i="2"/>
  <c r="K45" i="2"/>
  <c r="K230" i="2"/>
  <c r="K256" i="2"/>
  <c r="K9" i="2"/>
  <c r="K242" i="2"/>
  <c r="K179" i="2"/>
  <c r="K178" i="2"/>
  <c r="K52" i="2"/>
  <c r="K260" i="2"/>
  <c r="K259" i="2"/>
  <c r="K132" i="2"/>
  <c r="K63" i="2"/>
  <c r="K229" i="2"/>
  <c r="K59" i="2"/>
  <c r="K146" i="2"/>
  <c r="K221" i="2"/>
  <c r="K121" i="2"/>
  <c r="K300" i="2"/>
  <c r="K123" i="2"/>
  <c r="K220" i="2"/>
  <c r="K203" i="2"/>
  <c r="K296" i="2"/>
  <c r="K85" i="2"/>
  <c r="K166" i="2"/>
  <c r="K292" i="2"/>
  <c r="K167" i="2"/>
  <c r="K188" i="2"/>
  <c r="K169" i="2"/>
  <c r="K83" i="2"/>
  <c r="K252" i="2"/>
  <c r="K86" i="2"/>
  <c r="K74" i="2"/>
  <c r="K127" i="2"/>
  <c r="K32" i="2"/>
  <c r="K254" i="2"/>
  <c r="K43" i="2"/>
  <c r="K77" i="2"/>
  <c r="K194" i="2"/>
  <c r="K278" i="2"/>
  <c r="K227" i="2"/>
  <c r="K37" i="2"/>
  <c r="K143" i="2"/>
  <c r="K108" i="2"/>
  <c r="K289" i="2"/>
  <c r="K136" i="2"/>
  <c r="K101" i="2"/>
  <c r="K20" i="2"/>
  <c r="K138" i="2"/>
  <c r="K224" i="2"/>
  <c r="K171" i="2"/>
  <c r="K61" i="2"/>
  <c r="K232" i="2"/>
  <c r="K157" i="2"/>
  <c r="K79" i="2"/>
  <c r="K284" i="2"/>
  <c r="K265" i="2"/>
  <c r="K288" i="2"/>
  <c r="K202" i="2"/>
  <c r="K137" i="2"/>
  <c r="K39" i="2"/>
  <c r="K176" i="2"/>
  <c r="K231" i="2"/>
  <c r="K44" i="2"/>
  <c r="K29" i="2"/>
  <c r="K125" i="2"/>
  <c r="K214" i="2"/>
  <c r="K263" i="2"/>
  <c r="K40" i="2"/>
  <c r="K294" i="2"/>
  <c r="K31" i="2"/>
  <c r="K6" i="2"/>
  <c r="K24" i="2"/>
  <c r="K151" i="2"/>
  <c r="K159" i="2"/>
  <c r="K150" i="2"/>
  <c r="K149" i="2"/>
  <c r="K156" i="2"/>
  <c r="K258" i="2"/>
  <c r="K119" i="2"/>
  <c r="K160" i="2"/>
  <c r="K205" i="2"/>
  <c r="K133" i="2"/>
  <c r="K38" i="2"/>
  <c r="K131" i="2"/>
  <c r="K55" i="2"/>
  <c r="K206" i="2"/>
  <c r="K198" i="2"/>
  <c r="K297" i="2"/>
  <c r="K3" i="2"/>
  <c r="K120" i="2"/>
  <c r="K280" i="2"/>
  <c r="K93" i="2"/>
  <c r="K98" i="2"/>
  <c r="K53" i="2"/>
  <c r="K5" i="2"/>
  <c r="K135" i="2"/>
  <c r="K207" i="2"/>
  <c r="K134" i="2"/>
  <c r="K247" i="2"/>
  <c r="K99" i="2"/>
  <c r="K87" i="2"/>
  <c r="K8" i="2"/>
  <c r="K282" i="2"/>
  <c r="K145" i="2"/>
  <c r="K148" i="2"/>
  <c r="K204" i="2"/>
  <c r="K104" i="2"/>
  <c r="K89" i="2"/>
  <c r="K291" i="2"/>
  <c r="K51" i="2"/>
  <c r="K273" i="2"/>
  <c r="K301" i="2"/>
  <c r="K217" i="2"/>
  <c r="K153" i="2"/>
  <c r="K18" i="2"/>
  <c r="K286" i="2"/>
  <c r="K7" i="2"/>
  <c r="K73" i="2"/>
  <c r="K102" i="2"/>
  <c r="K180" i="2"/>
  <c r="K185" i="2"/>
  <c r="K35" i="2"/>
  <c r="K54" i="2"/>
  <c r="K270" i="2"/>
  <c r="K103" i="2"/>
  <c r="K233" i="2"/>
  <c r="K266" i="2"/>
  <c r="K165" i="2"/>
  <c r="K162" i="2"/>
  <c r="K216" i="2"/>
  <c r="K107" i="2"/>
  <c r="K187" i="2"/>
  <c r="K168" i="2"/>
  <c r="K10" i="2"/>
  <c r="K78" i="2"/>
  <c r="K211" i="2"/>
  <c r="K277" i="2"/>
  <c r="K140" i="2"/>
  <c r="K27" i="2"/>
  <c r="K95" i="2"/>
  <c r="K261" i="2"/>
  <c r="K34" i="2"/>
  <c r="K253" i="2"/>
  <c r="K201" i="2"/>
  <c r="K130" i="2"/>
  <c r="K152" i="2"/>
  <c r="K17" i="2"/>
  <c r="K147" i="2"/>
  <c r="K11" i="2"/>
  <c r="K158" i="2"/>
  <c r="K192" i="2"/>
  <c r="K245" i="2"/>
  <c r="K283" i="2"/>
  <c r="K36" i="2"/>
  <c r="K57" i="2"/>
  <c r="K237" i="2"/>
  <c r="K222" i="2"/>
  <c r="K199" i="2"/>
  <c r="K92" i="2"/>
  <c r="K118" i="2"/>
  <c r="J68" i="2"/>
  <c r="K68" i="2" s="1"/>
  <c r="J4" i="2"/>
  <c r="K4" i="2" s="1"/>
  <c r="J209" i="2"/>
  <c r="K209" i="2" s="1"/>
  <c r="J33" i="2"/>
  <c r="K33" i="2" s="1"/>
  <c r="J236" i="2"/>
  <c r="J41" i="2"/>
  <c r="K41" i="2" s="1"/>
  <c r="J144" i="2"/>
  <c r="K144" i="2" s="1"/>
  <c r="J111" i="2"/>
  <c r="K111" i="2" s="1"/>
  <c r="J48" i="2"/>
  <c r="J161" i="2"/>
  <c r="J181" i="2"/>
  <c r="J66" i="2"/>
  <c r="J208" i="2"/>
  <c r="J15" i="2"/>
  <c r="K15" i="2" s="1"/>
  <c r="J65" i="2"/>
  <c r="J126" i="2"/>
  <c r="J142" i="2"/>
  <c r="K142" i="2" s="1"/>
  <c r="J139" i="2"/>
  <c r="K139" i="2" s="1"/>
  <c r="J26" i="2"/>
  <c r="K26" i="2" s="1"/>
  <c r="J71" i="2"/>
  <c r="K71" i="2" s="1"/>
  <c r="J80" i="2"/>
  <c r="J70" i="2"/>
  <c r="J50" i="2"/>
  <c r="K50" i="2" s="1"/>
  <c r="J16" i="2"/>
  <c r="K16" i="2" s="1"/>
  <c r="J115" i="2"/>
  <c r="J45" i="2"/>
  <c r="J230" i="2"/>
  <c r="J256" i="2"/>
  <c r="J9" i="2"/>
  <c r="J279" i="2"/>
  <c r="K279" i="2" s="1"/>
  <c r="J242" i="2"/>
  <c r="J179" i="2"/>
  <c r="J42" i="2"/>
  <c r="K42" i="2" s="1"/>
  <c r="J164" i="2"/>
  <c r="K164" i="2" s="1"/>
  <c r="J69" i="2"/>
  <c r="K69" i="2" s="1"/>
  <c r="J234" i="2"/>
  <c r="K234" i="2" s="1"/>
  <c r="J178" i="2"/>
  <c r="J52" i="2"/>
  <c r="J200" i="2"/>
  <c r="K200" i="2" s="1"/>
  <c r="J238" i="2"/>
  <c r="K238" i="2" s="1"/>
  <c r="J260" i="2"/>
  <c r="J259" i="2"/>
  <c r="J132" i="2"/>
  <c r="J63" i="2"/>
  <c r="J229" i="2"/>
  <c r="J223" i="2"/>
  <c r="K223" i="2" s="1"/>
  <c r="J59" i="2"/>
  <c r="J146" i="2"/>
  <c r="J191" i="2"/>
  <c r="K191" i="2" s="1"/>
  <c r="J75" i="2"/>
  <c r="K75" i="2" s="1"/>
  <c r="J215" i="2"/>
  <c r="K215" i="2" s="1"/>
  <c r="J290" i="2"/>
  <c r="K290" i="2" s="1"/>
  <c r="J221" i="2"/>
  <c r="J121" i="2"/>
  <c r="J183" i="2"/>
  <c r="K183" i="2" s="1"/>
  <c r="J82" i="2"/>
  <c r="K82" i="2" s="1"/>
  <c r="J300" i="2"/>
  <c r="J123" i="2"/>
  <c r="J220" i="2"/>
  <c r="J203" i="2"/>
  <c r="J296" i="2"/>
  <c r="J2" i="2"/>
  <c r="K2" i="2" s="1"/>
  <c r="J85" i="2"/>
  <c r="J166" i="2"/>
  <c r="J281" i="2"/>
  <c r="K281" i="2" s="1"/>
  <c r="J25" i="2"/>
  <c r="K25" i="2" s="1"/>
  <c r="J244" i="2"/>
  <c r="K244" i="2" s="1"/>
  <c r="J124" i="2"/>
  <c r="K124" i="2" s="1"/>
  <c r="J292" i="2"/>
  <c r="J167" i="2"/>
  <c r="J112" i="2"/>
  <c r="K112" i="2" s="1"/>
  <c r="J28" i="2"/>
  <c r="K28" i="2" s="1"/>
  <c r="J188" i="2"/>
  <c r="J169" i="2"/>
  <c r="J83" i="2"/>
  <c r="J252" i="2"/>
  <c r="J86" i="2"/>
  <c r="J113" i="2"/>
  <c r="K113" i="2" s="1"/>
  <c r="J74" i="2"/>
  <c r="J127" i="2"/>
  <c r="J100" i="2"/>
  <c r="K100" i="2" s="1"/>
  <c r="J219" i="2"/>
  <c r="K219" i="2" s="1"/>
  <c r="J106" i="2"/>
  <c r="K106" i="2" s="1"/>
  <c r="J243" i="2"/>
  <c r="K243" i="2" s="1"/>
  <c r="J32" i="2"/>
  <c r="J254" i="2"/>
  <c r="J193" i="2"/>
  <c r="K193" i="2" s="1"/>
  <c r="J228" i="2"/>
  <c r="K228" i="2" s="1"/>
  <c r="J43" i="2"/>
  <c r="J77" i="2"/>
  <c r="J194" i="2"/>
  <c r="J278" i="2"/>
  <c r="J227" i="2"/>
  <c r="J37" i="2"/>
  <c r="J143" i="2"/>
  <c r="J108" i="2"/>
  <c r="J155" i="2"/>
  <c r="K155" i="2" s="1"/>
  <c r="J49" i="2"/>
  <c r="K49" i="2" s="1"/>
  <c r="J122" i="2"/>
  <c r="K122" i="2" s="1"/>
  <c r="J60" i="2"/>
  <c r="K60" i="2" s="1"/>
  <c r="J289" i="2"/>
  <c r="J136" i="2"/>
  <c r="J197" i="2"/>
  <c r="K197" i="2" s="1"/>
  <c r="J182" i="2"/>
  <c r="K182" i="2" s="1"/>
  <c r="J101" i="2"/>
  <c r="J20" i="2"/>
  <c r="J138" i="2"/>
  <c r="J224" i="2"/>
  <c r="J171" i="2"/>
  <c r="J61" i="2"/>
  <c r="J232" i="2"/>
  <c r="J157" i="2"/>
  <c r="J184" i="2"/>
  <c r="K184" i="2" s="1"/>
  <c r="J19" i="2"/>
  <c r="K19" i="2" s="1"/>
  <c r="J226" i="2"/>
  <c r="K226" i="2" s="1"/>
  <c r="J163" i="2"/>
  <c r="K163" i="2" s="1"/>
  <c r="J79" i="2"/>
  <c r="J284" i="2"/>
  <c r="J264" i="2"/>
  <c r="K264" i="2" s="1"/>
  <c r="J287" i="2"/>
  <c r="K287" i="2" s="1"/>
  <c r="J81" i="2"/>
  <c r="K81" i="2" s="1"/>
  <c r="J265" i="2"/>
  <c r="J288" i="2"/>
  <c r="J202" i="2"/>
  <c r="J137" i="2"/>
  <c r="J39" i="2"/>
  <c r="J176" i="2"/>
  <c r="J231" i="2"/>
  <c r="J114" i="2"/>
  <c r="K114" i="2" s="1"/>
  <c r="J186" i="2"/>
  <c r="K186" i="2" s="1"/>
  <c r="J190" i="2"/>
  <c r="K190" i="2" s="1"/>
  <c r="J46" i="2"/>
  <c r="K46" i="2" s="1"/>
  <c r="J44" i="2"/>
  <c r="J29" i="2"/>
  <c r="J251" i="2"/>
  <c r="K251" i="2" s="1"/>
  <c r="J255" i="2"/>
  <c r="K255" i="2" s="1"/>
  <c r="J218" i="2"/>
  <c r="K218" i="2" s="1"/>
  <c r="J125" i="2"/>
  <c r="J214" i="2"/>
  <c r="J263" i="2"/>
  <c r="J40" i="2"/>
  <c r="J294" i="2"/>
  <c r="J31" i="2"/>
  <c r="J6" i="2"/>
  <c r="J257" i="2"/>
  <c r="K257" i="2" s="1"/>
  <c r="J210" i="2"/>
  <c r="K210" i="2" s="1"/>
  <c r="J248" i="2"/>
  <c r="K248" i="2" s="1"/>
  <c r="J72" i="2"/>
  <c r="K72" i="2" s="1"/>
  <c r="J24" i="2"/>
  <c r="J151" i="2"/>
  <c r="J246" i="2"/>
  <c r="K246" i="2" s="1"/>
  <c r="J235" i="2"/>
  <c r="K235" i="2" s="1"/>
  <c r="J285" i="2"/>
  <c r="K285" i="2" s="1"/>
  <c r="J159" i="2"/>
  <c r="J150" i="2"/>
  <c r="J149" i="2"/>
  <c r="J156" i="2"/>
  <c r="J258" i="2"/>
  <c r="J119" i="2"/>
  <c r="J160" i="2"/>
  <c r="J105" i="2"/>
  <c r="K105" i="2" s="1"/>
  <c r="J262" i="2"/>
  <c r="K262" i="2" s="1"/>
  <c r="J212" i="2"/>
  <c r="K212" i="2" s="1"/>
  <c r="J213" i="2"/>
  <c r="K213" i="2" s="1"/>
  <c r="J205" i="2"/>
  <c r="J133" i="2"/>
  <c r="J62" i="2"/>
  <c r="K62" i="2" s="1"/>
  <c r="J175" i="2"/>
  <c r="K175" i="2" s="1"/>
  <c r="J38" i="2"/>
  <c r="J131" i="2"/>
  <c r="J55" i="2"/>
  <c r="J206" i="2"/>
  <c r="J198" i="2"/>
  <c r="J297" i="2"/>
  <c r="J3" i="2"/>
  <c r="J120" i="2"/>
  <c r="J298" i="2"/>
  <c r="K298" i="2" s="1"/>
  <c r="J64" i="2"/>
  <c r="K64" i="2" s="1"/>
  <c r="J116" i="2"/>
  <c r="K116" i="2" s="1"/>
  <c r="J267" i="2"/>
  <c r="K267" i="2" s="1"/>
  <c r="J141" i="2"/>
  <c r="K141" i="2" s="1"/>
  <c r="J280" i="2"/>
  <c r="J195" i="2"/>
  <c r="K195" i="2" s="1"/>
  <c r="J128" i="2"/>
  <c r="K128" i="2" s="1"/>
  <c r="J97" i="2"/>
  <c r="K97" i="2" s="1"/>
  <c r="J93" i="2"/>
  <c r="J98" i="2"/>
  <c r="J53" i="2"/>
  <c r="J5" i="2"/>
  <c r="J135" i="2"/>
  <c r="J207" i="2"/>
  <c r="J134" i="2"/>
  <c r="J96" i="2"/>
  <c r="K96" i="2" s="1"/>
  <c r="J196" i="2"/>
  <c r="K196" i="2" s="1"/>
  <c r="J177" i="2"/>
  <c r="K177" i="2" s="1"/>
  <c r="J30" i="2"/>
  <c r="K30" i="2" s="1"/>
  <c r="J247" i="2"/>
  <c r="J99" i="2"/>
  <c r="J21" i="2"/>
  <c r="K21" i="2" s="1"/>
  <c r="J117" i="2"/>
  <c r="K117" i="2" s="1"/>
  <c r="J87" i="2"/>
  <c r="J8" i="2"/>
  <c r="J282" i="2"/>
  <c r="J145" i="2"/>
  <c r="J148" i="2"/>
  <c r="J204" i="2"/>
  <c r="J104" i="2"/>
  <c r="J89" i="2"/>
  <c r="J293" i="2"/>
  <c r="K293" i="2" s="1"/>
  <c r="J240" i="2"/>
  <c r="K240" i="2" s="1"/>
  <c r="J172" i="2"/>
  <c r="K172" i="2" s="1"/>
  <c r="J88" i="2"/>
  <c r="K88" i="2" s="1"/>
  <c r="J291" i="2"/>
  <c r="J51" i="2"/>
  <c r="J12" i="2"/>
  <c r="K12" i="2" s="1"/>
  <c r="J22" i="2"/>
  <c r="K22" i="2" s="1"/>
  <c r="J241" i="2"/>
  <c r="K241" i="2" s="1"/>
  <c r="J273" i="2"/>
  <c r="J301" i="2"/>
  <c r="J217" i="2"/>
  <c r="J153" i="2"/>
  <c r="J18" i="2"/>
  <c r="J286" i="2"/>
  <c r="J7" i="2"/>
  <c r="J272" i="2"/>
  <c r="K272" i="2" s="1"/>
  <c r="J154" i="2"/>
  <c r="K154" i="2" s="1"/>
  <c r="J84" i="2"/>
  <c r="K84" i="2" s="1"/>
  <c r="J189" i="2"/>
  <c r="K189" i="2" s="1"/>
  <c r="J73" i="2"/>
  <c r="J102" i="2"/>
  <c r="J299" i="2"/>
  <c r="K299" i="2" s="1"/>
  <c r="J56" i="2"/>
  <c r="K56" i="2" s="1"/>
  <c r="J67" i="2"/>
  <c r="K67" i="2" s="1"/>
  <c r="J180" i="2"/>
  <c r="J185" i="2"/>
  <c r="J35" i="2"/>
  <c r="J54" i="2"/>
  <c r="J270" i="2"/>
  <c r="J103" i="2"/>
  <c r="J233" i="2"/>
  <c r="J239" i="2"/>
  <c r="K239" i="2" s="1"/>
  <c r="J129" i="2"/>
  <c r="K129" i="2" s="1"/>
  <c r="J275" i="2"/>
  <c r="K275" i="2" s="1"/>
  <c r="J170" i="2"/>
  <c r="K170" i="2" s="1"/>
  <c r="J266" i="2"/>
  <c r="J165" i="2"/>
  <c r="J276" i="2"/>
  <c r="K276" i="2" s="1"/>
  <c r="J109" i="2"/>
  <c r="K109" i="2" s="1"/>
  <c r="J58" i="2"/>
  <c r="K58" i="2" s="1"/>
  <c r="J162" i="2"/>
  <c r="J216" i="2"/>
  <c r="J107" i="2"/>
  <c r="J187" i="2"/>
  <c r="J168" i="2"/>
  <c r="J10" i="2"/>
  <c r="J78" i="2"/>
  <c r="J250" i="2"/>
  <c r="K250" i="2" s="1"/>
  <c r="J274" i="2"/>
  <c r="K274" i="2" s="1"/>
  <c r="J110" i="2"/>
  <c r="K110" i="2" s="1"/>
  <c r="J90" i="2"/>
  <c r="K90" i="2" s="1"/>
  <c r="J211" i="2"/>
  <c r="J277" i="2"/>
  <c r="J295" i="2"/>
  <c r="K295" i="2" s="1"/>
  <c r="J271" i="2"/>
  <c r="K271" i="2" s="1"/>
  <c r="J140" i="2"/>
  <c r="J27" i="2"/>
  <c r="J95" i="2"/>
  <c r="J261" i="2"/>
  <c r="J34" i="2"/>
  <c r="J253" i="2"/>
  <c r="J201" i="2"/>
  <c r="J130" i="2"/>
  <c r="J76" i="2"/>
  <c r="K76" i="2" s="1"/>
  <c r="J225" i="2"/>
  <c r="K225" i="2" s="1"/>
  <c r="J249" i="2"/>
  <c r="K249" i="2" s="1"/>
  <c r="J269" i="2"/>
  <c r="K269" i="2" s="1"/>
  <c r="J152" i="2"/>
  <c r="J17" i="2"/>
  <c r="J91" i="2"/>
  <c r="K91" i="2" s="1"/>
  <c r="J23" i="2"/>
  <c r="K23" i="2" s="1"/>
  <c r="J147" i="2"/>
  <c r="J11" i="2"/>
  <c r="J158" i="2"/>
  <c r="J192" i="2"/>
  <c r="J245" i="2"/>
  <c r="J283" i="2"/>
  <c r="J36" i="2"/>
  <c r="J57" i="2"/>
  <c r="J94" i="2"/>
  <c r="K94" i="2" s="1"/>
  <c r="J47" i="2"/>
  <c r="K47" i="2" s="1"/>
  <c r="J173" i="2"/>
  <c r="K173" i="2" s="1"/>
  <c r="J174" i="2"/>
  <c r="K174" i="2" s="1"/>
  <c r="J237" i="2"/>
  <c r="J222" i="2"/>
  <c r="J14" i="2"/>
  <c r="K14" i="2" s="1"/>
  <c r="J268" i="2"/>
  <c r="K268" i="2" s="1"/>
  <c r="J13" i="2"/>
  <c r="K13" i="2" s="1"/>
  <c r="J199" i="2"/>
  <c r="J92" i="2"/>
  <c r="J118" i="2"/>
</calcChain>
</file>

<file path=xl/sharedStrings.xml><?xml version="1.0" encoding="utf-8"?>
<sst xmlns="http://schemas.openxmlformats.org/spreadsheetml/2006/main" count="3460" uniqueCount="439">
  <si>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</si>
  <si>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</si>
  <si>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</si>
  <si>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</si>
  <si>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</si>
  <si>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</si>
  <si>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</si>
  <si>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</si>
  <si>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</si>
  <si>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</si>
  <si>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</si>
  <si>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</si>
  <si>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</si>
  <si>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</si>
  <si>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</si>
  <si>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</si>
  <si>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Check out our latest reel on twitter!</t>
  </si>
  <si>
    <t>#LiveForNow,#AnytimeIsPepsiTime</t>
  </si>
  <si>
    <t>SummerSplash</t>
  </si>
  <si>
    <t>P002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</si>
  <si>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</si>
  <si>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</si>
  <si>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</si>
  <si>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</si>
  <si>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</si>
  <si>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</si>
  <si>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Check out our latest reel on youtube!</t>
  </si>
  <si>
    <t>#PepsiCoRefresh</t>
  </si>
  <si>
    <t>NewYearRefresh</t>
  </si>
  <si>
    <t>P004</t>
  </si>
  <si>
    <t>Instagram</t>
  </si>
  <si>
    <t>Story</t>
  </si>
  <si>
    <t>Check out our latest story on instagram!</t>
  </si>
  <si>
    <t>#ThirstyForMore</t>
  </si>
  <si>
    <t>DailyWellness</t>
  </si>
  <si>
    <t>P005</t>
  </si>
  <si>
    <t>#ThirstyForMore,#PepsiCoRefresh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</si>
  <si>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</si>
  <si>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</si>
  <si>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</si>
  <si>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</si>
  <si>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</si>
  <si>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</si>
  <si>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</si>
  <si>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</si>
  <si>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</si>
  <si>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</si>
  <si>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</si>
  <si>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</si>
  <si>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</si>
  <si>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</si>
  <si>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#LiveForNow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</si>
  <si>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</si>
  <si>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</si>
  <si>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</si>
  <si>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</si>
  <si>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</si>
  <si>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</si>
  <si>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</si>
  <si>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</si>
  <si>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</si>
  <si>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</si>
  <si>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</si>
  <si>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</si>
  <si>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</si>
  <si>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</si>
  <si>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</si>
  <si>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</si>
  <si>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</si>
  <si>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</si>
  <si>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</si>
  <si>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</si>
  <si>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#PepsiCoRefresh,#AnytimeIsPepsiTime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</si>
  <si>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</si>
  <si>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</si>
  <si>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</si>
  <si>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</si>
  <si>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</si>
  <si>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</si>
  <si>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</si>
  <si>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</si>
  <si>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</si>
  <si>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</si>
  <si>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</si>
  <si>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</si>
  <si>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</si>
  <si>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</si>
  <si>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</si>
  <si>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</si>
  <si>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</si>
  <si>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</si>
  <si>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</si>
  <si>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</si>
  <si>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</si>
  <si>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</si>
  <si>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</si>
  <si>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</si>
  <si>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</si>
  <si>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</si>
  <si>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</si>
  <si>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</si>
  <si>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</si>
  <si>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</si>
  <si>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</si>
  <si>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</si>
  <si>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</si>
  <si>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</si>
  <si>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</si>
  <si>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</si>
  <si>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#ThirstyForMore,#BetterWithPepsi</t>
  </si>
  <si>
    <t>P054</t>
  </si>
  <si>
    <t>P055</t>
  </si>
  <si>
    <t>P056</t>
  </si>
  <si>
    <t>P057</t>
  </si>
  <si>
    <t>P058</t>
  </si>
  <si>
    <t>P059</t>
  </si>
  <si>
    <t>P060</t>
  </si>
  <si>
    <t>#ThirstyForMore,#PepsiCoRefresh,#AnytimeIsPepsiTime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</si>
  <si>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</si>
  <si>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</si>
  <si>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</si>
  <si>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</si>
  <si>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</si>
  <si>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</si>
  <si>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</si>
  <si>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</si>
  <si>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</si>
  <si>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</si>
  <si>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</si>
  <si>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</si>
  <si>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</si>
  <si>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</si>
  <si>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</si>
  <si>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</si>
  <si>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</si>
  <si>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</si>
  <si>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</si>
  <si>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</si>
  <si>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</si>
  <si>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</si>
  <si>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</si>
  <si>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#LiveForNow,#PepsiCoRefresh,#AnytimeIsPepsiTime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</si>
  <si>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</si>
  <si>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</si>
  <si>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</si>
  <si>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</si>
  <si>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</si>
  <si>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</si>
  <si>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</si>
  <si>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</si>
  <si>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</si>
  <si>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</si>
  <si>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</si>
  <si>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</si>
  <si>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</si>
  <si>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</si>
  <si>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</si>
  <si>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</si>
  <si>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</si>
  <si>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</si>
  <si>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</si>
  <si>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</si>
  <si>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</si>
  <si>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</si>
  <si>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</si>
  <si>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</si>
  <si>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</si>
  <si>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</si>
  <si>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</si>
  <si>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</si>
  <si>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</si>
  <si>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</si>
  <si>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</si>
  <si>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</si>
  <si>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</si>
  <si>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</si>
  <si>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</si>
  <si>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</si>
  <si>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</si>
  <si>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</si>
  <si>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</si>
  <si>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</si>
  <si>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</si>
  <si>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</si>
  <si>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</si>
  <si>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</si>
  <si>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</si>
  <si>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</si>
  <si>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</si>
  <si>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</si>
  <si>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</si>
  <si>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</si>
  <si>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</si>
  <si>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</si>
  <si>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</si>
  <si>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</si>
  <si>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</si>
  <si>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</si>
  <si>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</si>
  <si>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</si>
  <si>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</si>
  <si>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#ThirstyForMore,#SmoothLikeNitroPepsi</t>
  </si>
  <si>
    <t>P141</t>
  </si>
  <si>
    <t>P142</t>
  </si>
  <si>
    <t>P143</t>
  </si>
  <si>
    <t>P144</t>
  </si>
  <si>
    <t>P145</t>
  </si>
  <si>
    <t>P146</t>
  </si>
  <si>
    <t>#ThirstyForMore,#AnytimeIsPepsiTime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</si>
  <si>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</si>
  <si>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</si>
  <si>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</si>
  <si>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</si>
  <si>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</si>
  <si>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</si>
  <si>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</si>
  <si>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</si>
  <si>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</si>
  <si>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</si>
  <si>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</si>
  <si>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</si>
  <si>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</si>
  <si>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</si>
  <si>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</si>
  <si>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</si>
  <si>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</si>
  <si>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</si>
  <si>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</si>
  <si>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</si>
  <si>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</si>
  <si>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</si>
  <si>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</si>
  <si>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</si>
  <si>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</si>
  <si>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</si>
  <si>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</si>
  <si>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</si>
  <si>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</si>
  <si>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</si>
  <si>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</si>
  <si>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</si>
  <si>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</si>
  <si>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</si>
  <si>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</si>
  <si>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</si>
  <si>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</si>
  <si>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</si>
  <si>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</si>
  <si>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</si>
  <si>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</si>
  <si>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</si>
  <si>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</si>
  <si>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</si>
  <si>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</si>
  <si>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</si>
  <si>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</si>
  <si>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</si>
  <si>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</si>
  <si>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</si>
  <si>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</si>
  <si>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</si>
  <si>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</si>
  <si>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</si>
  <si>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</si>
  <si>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</si>
  <si>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</si>
  <si>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</si>
  <si>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</si>
  <si>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#PepsiCoRefresh,#SmoothLikeNitroPepsi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</si>
  <si>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</si>
  <si>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</si>
  <si>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</si>
  <si>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</si>
  <si>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</si>
  <si>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</si>
  <si>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</si>
  <si>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</si>
  <si>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</si>
  <si>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</si>
  <si>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</si>
  <si>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</si>
  <si>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</si>
  <si>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</si>
  <si>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</si>
  <si>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</si>
  <si>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</si>
  <si>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#LiveForNow,#SmoothLikeNitroPepsi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</si>
  <si>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</si>
  <si>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</si>
  <si>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</si>
  <si>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</si>
  <si>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</si>
  <si>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</si>
  <si>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</si>
  <si>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</si>
  <si>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</si>
  <si>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</si>
  <si>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</si>
  <si>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</si>
  <si>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</si>
  <si>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</si>
  <si>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#LiveForNow,#AnytimeIsPepsiTime,#ThirstyForMore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</si>
  <si>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</si>
  <si>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</si>
  <si>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</si>
  <si>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</si>
  <si>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</si>
  <si>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</si>
  <si>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</si>
  <si>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</si>
  <si>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</si>
  <si>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</si>
  <si>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</si>
  <si>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#LiveForNow,#ThirstyForMore,#BetterWithPepsi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</si>
  <si>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</si>
  <si>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</si>
  <si>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</si>
  <si>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</si>
  <si>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</si>
  <si>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</si>
  <si>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</si>
  <si>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</si>
  <si>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</si>
  <si>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</si>
  <si>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#ThirstyForMore,#ThirstyForMore,#BetterWithPepsi</t>
  </si>
  <si>
    <t>P258</t>
  </si>
  <si>
    <t>P259</t>
  </si>
  <si>
    <t>P260</t>
  </si>
  <si>
    <t>#PepsiCoRefresh,#ThirstyForMore,#BetterWithPepsi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</si>
  <si>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</si>
  <si>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</si>
  <si>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</si>
  <si>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</si>
  <si>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</si>
  <si>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</si>
  <si>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</si>
  <si>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</si>
  <si>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</si>
  <si>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</si>
  <si>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</si>
  <si>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</si>
  <si>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</si>
  <si>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</si>
  <si>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</si>
  <si>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</si>
  <si>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</si>
  <si>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</si>
  <si>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</si>
  <si>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</si>
  <si>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</si>
  <si>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</si>
  <si>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</si>
  <si>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</si>
  <si>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</si>
  <si>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</si>
  <si>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</si>
  <si>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</si>
  <si>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</si>
  <si>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</si>
  <si>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</si>
  <si>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</si>
  <si>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</si>
  <si>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</si>
  <si>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</si>
  <si>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</si>
  <si>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</si>
  <si>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</si>
  <si>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</si>
  <si>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</si>
  <si>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Total_Engagement</t>
  </si>
  <si>
    <t>Engagement_Rate</t>
  </si>
  <si>
    <t>Row Labels</t>
  </si>
  <si>
    <t>Grand Total</t>
  </si>
  <si>
    <t>Avg Engagement Rate</t>
  </si>
  <si>
    <t>Instagram shows the highest average engagement rate, indicating stronger audience interaction per impression compared to other platforms</t>
  </si>
  <si>
    <t>Youtube shows the Lowest average engagement rate, indicating stronger audience interaction per impression compared to other platforms</t>
  </si>
  <si>
    <t>Top 10 Performing Posts</t>
  </si>
  <si>
    <r>
      <t xml:space="preserve">Which platform has the </t>
    </r>
    <r>
      <rPr>
        <b/>
        <sz val="11"/>
        <color theme="1"/>
        <rFont val="Calibri"/>
        <family val="2"/>
        <scheme val="minor"/>
      </rPr>
      <t>highest average engagement rate</t>
    </r>
    <r>
      <rPr>
        <sz val="11"/>
        <color theme="1"/>
        <rFont val="Calibri"/>
        <family val="2"/>
        <scheme val="minor"/>
      </rPr>
      <t>?</t>
    </r>
  </si>
  <si>
    <t>Do they belong to one platform mostly?</t>
  </si>
  <si>
    <t xml:space="preserve">No , they belong equally to all platforms </t>
  </si>
  <si>
    <t>Do you see repeated content types?</t>
  </si>
  <si>
    <t>Yes , I see repeated content type , the frequent content is Carousel</t>
  </si>
  <si>
    <t>Are impressions low but engagement high?</t>
  </si>
  <si>
    <t xml:space="preserve">Yes , posts that are in youtube has impression low but the engagement is high </t>
  </si>
  <si>
    <t>Top-performing posts by engagement rate are concentrated on Twitter platform and primarily use Carousel content type</t>
  </si>
  <si>
    <t>Insights</t>
  </si>
  <si>
    <t>Is the difference meaningful or marginal?</t>
  </si>
  <si>
    <r>
      <t xml:space="preserve">Which platform has the </t>
    </r>
    <r>
      <rPr>
        <b/>
        <sz val="11"/>
        <color theme="1"/>
        <rFont val="Calibri"/>
        <family val="2"/>
        <scheme val="minor"/>
      </rPr>
      <t>lowest average engagement rate</t>
    </r>
    <r>
      <rPr>
        <sz val="11"/>
        <color theme="1"/>
        <rFont val="Calibri"/>
        <family val="2"/>
        <scheme val="minor"/>
      </rPr>
      <t>?</t>
    </r>
  </si>
  <si>
    <t xml:space="preserve">Yes , it meaninful and spitting actual fact where people actually engage with content of posts </t>
  </si>
  <si>
    <t>Column Labels</t>
  </si>
  <si>
    <t>Total Total Likes</t>
  </si>
  <si>
    <t>Total Likes</t>
  </si>
  <si>
    <t>Total Total Comments</t>
  </si>
  <si>
    <t>Total Comments</t>
  </si>
  <si>
    <t>Total Total Shares</t>
  </si>
  <si>
    <t>Total Shares</t>
  </si>
  <si>
    <t>#SmoothLikeNitroPepsi</t>
  </si>
  <si>
    <t>#AnytimeIsPepsiTime</t>
  </si>
  <si>
    <t>#BetterWithPepsi</t>
  </si>
  <si>
    <t>Average of Clicks</t>
  </si>
  <si>
    <r>
      <t xml:space="preserve">Which hashtags consistently generate </t>
    </r>
    <r>
      <rPr>
        <b/>
        <sz val="11"/>
        <color theme="1"/>
        <rFont val="Calibri"/>
        <family val="2"/>
        <scheme val="minor"/>
      </rPr>
      <t>higher average clicks</t>
    </r>
    <r>
      <rPr>
        <sz val="11"/>
        <color theme="1"/>
        <rFont val="Calibri"/>
        <family val="2"/>
        <scheme val="minor"/>
      </rPr>
      <t>?</t>
    </r>
  </si>
  <si>
    <t xml:space="preserve">#PepsicoRefresh has consistently generate higher average clicks </t>
  </si>
  <si>
    <t>Are these campaign hashtags or generic brand tags?</t>
  </si>
  <si>
    <t>PepsicoRefresh hashtags generate significantly higher average clicks, indicating stronger user intent and making them better candidates for conversion-focused campaigns rather than awareness-only posts</t>
  </si>
  <si>
    <t>TASK 2 – ENGAGEMENT ANALYSIS INSIGHTS</t>
  </si>
  <si>
    <t xml:space="preserve">1. Platform Engagement Performance  </t>
  </si>
  <si>
    <t>Among all platforms</t>
  </si>
  <si>
    <t xml:space="preserve"> the average engagement rate varies noticeably</t>
  </si>
  <si>
    <t xml:space="preserve"> indicating that audience interaction efficiency is not uniform across channels. One platform consistently shows higher engagement per impression</t>
  </si>
  <si>
    <t xml:space="preserve"> suggesting stronger content resonance</t>
  </si>
  <si>
    <t xml:space="preserve"> while others rely more on reach than interaction quality.</t>
  </si>
  <si>
    <t xml:space="preserve">2. Top-Performing Posts Pattern  </t>
  </si>
  <si>
    <t>The top 10 posts ranked by engagement rate are not necessarily the ones with the highest impressions. These posts typically achieve higher interaction with relatively lower reach</t>
  </si>
  <si>
    <t xml:space="preserve"> indicating that content relevance and format play a stronger role than sheer visibility.</t>
  </si>
  <si>
    <t xml:space="preserve">3. Content Type × Platform Effectiveness  </t>
  </si>
  <si>
    <t>Overall engagement is driven primarily by specific content types</t>
  </si>
  <si>
    <t xml:space="preserve"> but performance differs significantly by platform. Certain content formats dominate engagement on visual-first platforms</t>
  </si>
  <si>
    <t xml:space="preserve"> while others perform better on text- or discussion-oriented platforms. This highlights the need for platform-specific content strategies rather than uniform cross-posting.</t>
  </si>
  <si>
    <t xml:space="preserve">4. Depth of Engagement Analysis  </t>
  </si>
  <si>
    <t>Content types that generate higher shares and comments relative to likes demonstrate deeper audience involvement and stronger brand advocacy. This suggests that not all engagement is equal</t>
  </si>
  <si>
    <t xml:space="preserve"> and qualitative interactions should be prioritized over passive reactions.</t>
  </si>
  <si>
    <t xml:space="preserve">5. Hashtag Click (Intent) Analysis  </t>
  </si>
  <si>
    <t>Hashtag-level analysis reveals that some hashtags consistently generate higher average clicks</t>
  </si>
  <si>
    <t xml:space="preserve"> indicating stronger user intent. These hashtags are better suited for conversion-focused or traffic-driven campaigns</t>
  </si>
  <si>
    <t xml:space="preserve"> while others may be more effective for awareness and visibility objectives.</t>
  </si>
  <si>
    <t>Pivot_Analysis</t>
  </si>
  <si>
    <t xml:space="preserve">Hashtags and Clicks </t>
  </si>
  <si>
    <t>Platform and engagement rate</t>
  </si>
  <si>
    <t xml:space="preserve">Content type and the platforms with values like , share , comment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</si>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</sst>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harsha Reddy" refreshedDate="46026.856258217595" createdVersion="8" refreshedVersion="8" minRefreshableVersion="3" recordCount="300" xr:uid="{C9D03F0F-CCCF-4E83-898F-A19EBF87529D}">
  <cacheSource type="worksheet">
    <worksheetSource name="Table1"/>
  </cacheSource>
  <cacheFields count="11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Content Type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Total_Engagement" numFmtId="0">
      <sharedItems containsSemiMixedTypes="0" containsString="0" containsNumber="1" containsInteger="1" minValue="315" maxValue="6278"/>
    </cacheField>
    <cacheField name="Engagement_Rate" numFmtId="0">
      <sharedItems containsSemiMixedTypes="0" containsString="0" containsNumber="1" minValue="0.55159474671669795" maxValue="19.0289212581802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harsha Reddy" refreshedDate="46026.876336805559" createdVersion="8" refreshedVersion="8" minRefreshableVersion="3" recordCount="10" xr:uid="{0C426B47-1173-4473-9712-EB8FD97B2919}">
  <cacheSource type="worksheet">
    <worksheetSource ref="A13:K23" sheet="Pivot_Analysis"/>
  </cacheSource>
  <cacheFields count="11">
    <cacheField name="Post ID" numFmtId="0">
      <sharedItems/>
    </cacheField>
    <cacheField name="Platform" numFmtId="0">
      <sharedItems count="4">
        <s v="Twitter"/>
        <s v="Facebook"/>
        <s v="Youtube"/>
        <s v="Instagram"/>
      </sharedItems>
    </cacheField>
    <cacheField name="Content Type" numFmtId="0">
      <sharedItems count="4">
        <s v="Carousel"/>
        <s v="Video"/>
        <s v="Reel"/>
        <s v="Text"/>
      </sharedItems>
    </cacheField>
    <cacheField name="Likes" numFmtId="0">
      <sharedItems containsSemiMixedTypes="0" containsString="0" containsNumber="1" containsInteger="1" minValue="1878" maxValue="4672"/>
    </cacheField>
    <cacheField name="Shares" numFmtId="0">
      <sharedItems containsSemiMixedTypes="0" containsString="0" containsNumber="1" containsInteger="1" minValue="12" maxValue="325"/>
    </cacheField>
    <cacheField name="Comments" numFmtId="0">
      <sharedItems containsSemiMixedTypes="0" containsString="0" containsNumber="1" containsInteger="1" minValue="13" maxValue="279"/>
    </cacheField>
    <cacheField name="Impressions" numFmtId="0">
      <sharedItems containsSemiMixedTypes="0" containsString="0" containsNumber="1" containsInteger="1" minValue="37560" maxValue="90140"/>
    </cacheField>
    <cacheField name="Clicks" numFmtId="0">
      <sharedItems containsSemiMixedTypes="0" containsString="0" containsNumber="1" containsInteger="1" minValue="93" maxValue="286"/>
    </cacheField>
    <cacheField name="Hashtags Used" numFmtId="0">
      <sharedItems/>
    </cacheField>
    <cacheField name="Total_Engagement" numFmtId="0">
      <sharedItems containsSemiMixedTypes="0" containsString="0" containsNumber="1" containsInteger="1" minValue="2119" maxValue="5029"/>
    </cacheField>
    <cacheField name="Engagement_Rate" numFmtId="0">
      <sharedItems containsSemiMixedTypes="0" containsString="0" containsNumber="1" minValue="17.169350509930219" maxValue="19.0289212581802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harsha Reddy" refreshedDate="46026.889661921297" createdVersion="8" refreshedVersion="8" minRefreshableVersion="3" recordCount="300" xr:uid="{89714142-BFCC-4D7B-9635-BFB5CC5E20E8}">
  <cacheSource type="worksheet">
    <worksheetSource ref="A2:B302" sheet="Hashtag click"/>
  </cacheSource>
  <cacheFields count="2">
    <cacheField name="Clicks" numFmtId="0">
      <sharedItems containsSemiMixedTypes="0" containsString="0" containsNumber="1" containsInteger="1" minValue="10" maxValue="300"/>
    </cacheField>
    <cacheField name="Hashtags Used" numFmtId="0">
      <sharedItems count="3">
        <s v="#LiveForNow"/>
        <s v="#PepsiCoRefresh"/>
        <s v="#ThirstyForMo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Reel"/>
    <n v="1461"/>
    <n v="184"/>
    <n v="344"/>
    <n v="21915"/>
    <n v="15"/>
    <s v="#LiveForNow,#AnytimeIsPepsiTime"/>
    <n v="1989"/>
    <n v="11.018099547511312"/>
  </r>
  <r>
    <s v="P002"/>
    <x v="0"/>
    <s v="Text"/>
    <n v="4054"/>
    <n v="389"/>
    <n v="493"/>
    <n v="64864"/>
    <n v="117"/>
    <s v="#PepsiCoRefresh,#BetterWithPepsi"/>
    <n v="4936"/>
    <n v="13.141004862236629"/>
  </r>
  <r>
    <s v="P003"/>
    <x v="1"/>
    <s v="Reel"/>
    <n v="2795"/>
    <n v="105"/>
    <n v="49"/>
    <n v="53105"/>
    <n v="204"/>
    <s v="#PepsiCoRefresh"/>
    <n v="2949"/>
    <n v="18.007799253984402"/>
  </r>
  <r>
    <s v="P004"/>
    <x v="2"/>
    <s v="Story"/>
    <n v="2404"/>
    <n v="363"/>
    <n v="138"/>
    <n v="19232"/>
    <n v="128"/>
    <s v="#ThirstyForMore"/>
    <n v="2905"/>
    <n v="6.6203098106712561"/>
  </r>
  <r>
    <s v="P005"/>
    <x v="1"/>
    <s v="Reel"/>
    <n v="3557"/>
    <n v="687"/>
    <n v="424"/>
    <n v="71140"/>
    <n v="224"/>
    <s v="#ThirstyForMore,#PepsiCoRefresh"/>
    <n v="4668"/>
    <n v="15.23993144815767"/>
  </r>
  <r>
    <s v="P006"/>
    <x v="3"/>
    <s v="Carousel"/>
    <n v="2945"/>
    <n v="930"/>
    <n v="355"/>
    <n v="23560"/>
    <n v="256"/>
    <s v="#PepsiCoRefresh"/>
    <n v="4230"/>
    <n v="5.5697399527186757"/>
  </r>
  <r>
    <s v="P007"/>
    <x v="0"/>
    <s v="Carousel"/>
    <n v="3860"/>
    <n v="201"/>
    <n v="279"/>
    <n v="61760"/>
    <n v="235"/>
    <s v="#PepsiCoRefresh"/>
    <n v="4340"/>
    <n v="14.230414746543779"/>
  </r>
  <r>
    <s v="P008"/>
    <x v="1"/>
    <s v="Image"/>
    <n v="3929"/>
    <n v="262"/>
    <n v="278"/>
    <n v="43219"/>
    <n v="39"/>
    <s v="#ThirstyForMore"/>
    <n v="4469"/>
    <n v="9.6708435891698361"/>
  </r>
  <r>
    <s v="P009"/>
    <x v="3"/>
    <s v="Text"/>
    <n v="3784"/>
    <n v="808"/>
    <n v="404"/>
    <n v="56760"/>
    <n v="131"/>
    <s v="#PepsiCoRefresh"/>
    <n v="4996"/>
    <n v="11.361088871096877"/>
  </r>
  <r>
    <s v="P010"/>
    <x v="3"/>
    <s v="Image"/>
    <n v="4241"/>
    <n v="902"/>
    <n v="47"/>
    <n v="72097"/>
    <n v="167"/>
    <s v="#PepsiCoRefresh"/>
    <n v="5190"/>
    <n v="13.891522157996146"/>
  </r>
  <r>
    <s v="P011"/>
    <x v="2"/>
    <s v="Story"/>
    <n v="1792"/>
    <n v="614"/>
    <n v="497"/>
    <n v="25088"/>
    <n v="65"/>
    <s v="#LiveForNow"/>
    <n v="2903"/>
    <n v="8.6420943851188419"/>
  </r>
  <r>
    <s v="P012"/>
    <x v="3"/>
    <s v="Reel"/>
    <n v="1946"/>
    <n v="686"/>
    <n v="377"/>
    <n v="23352"/>
    <n v="213"/>
    <s v="#LiveForNow"/>
    <n v="3009"/>
    <n v="7.7607178464606186"/>
  </r>
  <r>
    <s v="P013"/>
    <x v="1"/>
    <s v="Carousel"/>
    <n v="1171"/>
    <n v="286"/>
    <n v="231"/>
    <n v="22249"/>
    <n v="114"/>
    <s v="#ThirstyForMore"/>
    <n v="1688"/>
    <n v="13.18068720379147"/>
  </r>
  <r>
    <s v="P014"/>
    <x v="3"/>
    <s v="Story"/>
    <n v="4242"/>
    <n v="555"/>
    <n v="131"/>
    <n v="33936"/>
    <n v="265"/>
    <s v="#LiveForNow"/>
    <n v="4928"/>
    <n v="6.8863636363636367"/>
  </r>
  <r>
    <s v="P015"/>
    <x v="3"/>
    <s v="Video"/>
    <n v="3888"/>
    <n v="604"/>
    <n v="128"/>
    <n v="77760"/>
    <n v="20"/>
    <s v="#LiveForNow"/>
    <n v="4620"/>
    <n v="16.831168831168831"/>
  </r>
  <r>
    <s v="P016"/>
    <x v="3"/>
    <s v="Text"/>
    <n v="3452"/>
    <n v="377"/>
    <n v="360"/>
    <n v="55232"/>
    <n v="87"/>
    <s v="#LiveForNow"/>
    <n v="4189"/>
    <n v="13.185008355216041"/>
  </r>
  <r>
    <s v="P017"/>
    <x v="3"/>
    <s v="Text"/>
    <n v="4441"/>
    <n v="511"/>
    <n v="70"/>
    <n v="53292"/>
    <n v="159"/>
    <s v="#ThirstyForMore"/>
    <n v="5022"/>
    <n v="10.611708482676224"/>
  </r>
  <r>
    <s v="P018"/>
    <x v="2"/>
    <s v="Reel"/>
    <n v="3000"/>
    <n v="382"/>
    <n v="325"/>
    <n v="36000"/>
    <n v="19"/>
    <s v="#LiveForNow"/>
    <n v="3707"/>
    <n v="9.711356892365794"/>
  </r>
  <r>
    <s v="P019"/>
    <x v="2"/>
    <s v="Video"/>
    <n v="1071"/>
    <n v="519"/>
    <n v="22"/>
    <n v="16065"/>
    <n v="103"/>
    <s v="#PepsiCoRefresh"/>
    <n v="1612"/>
    <n v="9.9658808933002483"/>
  </r>
  <r>
    <s v="P020"/>
    <x v="2"/>
    <s v="Carousel"/>
    <n v="4054"/>
    <n v="488"/>
    <n v="373"/>
    <n v="77026"/>
    <n v="25"/>
    <s v="#PepsiCoRefresh"/>
    <n v="4915"/>
    <n v="15.671617497456765"/>
  </r>
  <r>
    <s v="P021"/>
    <x v="2"/>
    <s v="Reel"/>
    <n v="4838"/>
    <n v="640"/>
    <n v="128"/>
    <n v="72570"/>
    <n v="83"/>
    <s v="#LiveForNow"/>
    <n v="5606"/>
    <n v="12.945058865501249"/>
  </r>
  <r>
    <s v="P022"/>
    <x v="3"/>
    <s v="Text"/>
    <n v="1570"/>
    <n v="187"/>
    <n v="260"/>
    <n v="25120"/>
    <n v="133"/>
    <s v="#PepsiCoRefresh"/>
    <n v="2017"/>
    <n v="12.454139811601388"/>
  </r>
  <r>
    <s v="P023"/>
    <x v="3"/>
    <s v="Video"/>
    <n v="1606"/>
    <n v="547"/>
    <n v="316"/>
    <n v="32120"/>
    <n v="225"/>
    <s v="#PepsiCoRefresh,#AnytimeIsPepsiTime"/>
    <n v="2469"/>
    <n v="13.009315512353179"/>
  </r>
  <r>
    <s v="P024"/>
    <x v="3"/>
    <s v="Video"/>
    <n v="3961"/>
    <n v="761"/>
    <n v="131"/>
    <n v="67337"/>
    <n v="161"/>
    <s v="#LiveForNow"/>
    <n v="4853"/>
    <n v="13.875334844426128"/>
  </r>
  <r>
    <s v="P025"/>
    <x v="0"/>
    <s v="Carousel"/>
    <n v="3128"/>
    <n v="211"/>
    <n v="197"/>
    <n v="59432"/>
    <n v="238"/>
    <s v="#ThirstyForMore"/>
    <n v="3536"/>
    <n v="16.807692307692307"/>
  </r>
  <r>
    <s v="P026"/>
    <x v="1"/>
    <s v="Reel"/>
    <n v="3009"/>
    <n v="413"/>
    <n v="358"/>
    <n v="42126"/>
    <n v="211"/>
    <s v="#LiveForNow"/>
    <n v="3780"/>
    <n v="11.144444444444444"/>
  </r>
  <r>
    <s v="P027"/>
    <x v="1"/>
    <s v="Text"/>
    <n v="2076"/>
    <n v="195"/>
    <n v="104"/>
    <n v="33216"/>
    <n v="51"/>
    <s v="#LiveForNow"/>
    <n v="2375"/>
    <n v="13.985684210526315"/>
  </r>
  <r>
    <s v="P028"/>
    <x v="2"/>
    <s v="Video"/>
    <n v="432"/>
    <n v="624"/>
    <n v="123"/>
    <n v="6912"/>
    <n v="79"/>
    <s v="#LiveForNow"/>
    <n v="1179"/>
    <n v="5.8625954198473282"/>
  </r>
  <r>
    <s v="P029"/>
    <x v="2"/>
    <s v="Carousel"/>
    <n v="2566"/>
    <n v="118"/>
    <n v="37"/>
    <n v="12830"/>
    <n v="221"/>
    <s v="#LiveForNow"/>
    <n v="2721"/>
    <n v="4.7151782432929066"/>
  </r>
  <r>
    <s v="P030"/>
    <x v="2"/>
    <s v="Video"/>
    <n v="3095"/>
    <n v="39"/>
    <n v="78"/>
    <n v="55710"/>
    <n v="93"/>
    <s v="#ThirstyForMore"/>
    <n v="3212"/>
    <n v="17.344333748443336"/>
  </r>
  <r>
    <s v="P031"/>
    <x v="2"/>
    <s v="Text"/>
    <n v="438"/>
    <n v="153"/>
    <n v="275"/>
    <n v="3066"/>
    <n v="282"/>
    <s v="#PepsiCoRefresh"/>
    <n v="866"/>
    <n v="3.5404157043879909"/>
  </r>
  <r>
    <s v="P032"/>
    <x v="0"/>
    <s v="Carousel"/>
    <n v="2278"/>
    <n v="10"/>
    <n v="321"/>
    <n v="13668"/>
    <n v="275"/>
    <s v="#ThirstyForMore"/>
    <n v="2609"/>
    <n v="5.2387888079724032"/>
  </r>
  <r>
    <s v="P033"/>
    <x v="3"/>
    <s v="Image"/>
    <n v="1407"/>
    <n v="400"/>
    <n v="351"/>
    <n v="16884"/>
    <n v="113"/>
    <s v="#PepsiCoRefresh"/>
    <n v="2158"/>
    <n v="7.823911028730306"/>
  </r>
  <r>
    <s v="P034"/>
    <x v="3"/>
    <s v="Text"/>
    <n v="1652"/>
    <n v="89"/>
    <n v="357"/>
    <n v="29736"/>
    <n v="215"/>
    <s v="#PepsiCoRefresh"/>
    <n v="2098"/>
    <n v="14.17349857006673"/>
  </r>
  <r>
    <s v="P035"/>
    <x v="2"/>
    <s v="Video"/>
    <n v="3775"/>
    <n v="16"/>
    <n v="239"/>
    <n v="33975"/>
    <n v="271"/>
    <s v="#LiveForNow"/>
    <n v="4030"/>
    <n v="8.4305210918114142"/>
  </r>
  <r>
    <s v="P036"/>
    <x v="2"/>
    <s v="Story"/>
    <n v="4518"/>
    <n v="285"/>
    <n v="383"/>
    <n v="67770"/>
    <n v="31"/>
    <s v="#ThirstyForMore"/>
    <n v="5186"/>
    <n v="13.067875048206711"/>
  </r>
  <r>
    <s v="P037"/>
    <x v="3"/>
    <s v="Carousel"/>
    <n v="3024"/>
    <n v="925"/>
    <n v="350"/>
    <n v="24192"/>
    <n v="36"/>
    <s v="#ThirstyForMore"/>
    <n v="4299"/>
    <n v="5.6273551988834614"/>
  </r>
  <r>
    <s v="P038"/>
    <x v="1"/>
    <s v="Reel"/>
    <n v="3138"/>
    <n v="123"/>
    <n v="291"/>
    <n v="28242"/>
    <n v="87"/>
    <s v="#PepsiCoRefresh"/>
    <n v="3552"/>
    <n v="7.9510135135135132"/>
  </r>
  <r>
    <s v="P039"/>
    <x v="3"/>
    <s v="Image"/>
    <n v="3564"/>
    <n v="629"/>
    <n v="177"/>
    <n v="60588"/>
    <n v="92"/>
    <s v="#PepsiCoRefresh"/>
    <n v="4370"/>
    <n v="13.864530892448512"/>
  </r>
  <r>
    <s v="P040"/>
    <x v="0"/>
    <s v="Image"/>
    <n v="4750"/>
    <n v="151"/>
    <n v="415"/>
    <n v="38000"/>
    <n v="299"/>
    <s v="#ThirstyForMore"/>
    <n v="5316"/>
    <n v="7.1482317531978934"/>
  </r>
  <r>
    <s v="P041"/>
    <x v="2"/>
    <s v="Reel"/>
    <n v="456"/>
    <n v="629"/>
    <n v="428"/>
    <n v="8208"/>
    <n v="205"/>
    <s v="#LiveForNow"/>
    <n v="1513"/>
    <n v="5.4249834765366822"/>
  </r>
  <r>
    <s v="P042"/>
    <x v="1"/>
    <s v="Reel"/>
    <n v="1543"/>
    <n v="820"/>
    <n v="333"/>
    <n v="12344"/>
    <n v="241"/>
    <s v="#ThirstyForMore"/>
    <n v="2696"/>
    <n v="4.5786350148367951"/>
  </r>
  <r>
    <s v="P043"/>
    <x v="2"/>
    <s v="Carousel"/>
    <n v="2174"/>
    <n v="658"/>
    <n v="15"/>
    <n v="13044"/>
    <n v="137"/>
    <s v="#PepsiCoRefresh"/>
    <n v="2847"/>
    <n v="4.5816649104320337"/>
  </r>
  <r>
    <s v="P044"/>
    <x v="0"/>
    <s v="Image"/>
    <n v="2358"/>
    <n v="784"/>
    <n v="344"/>
    <n v="35370"/>
    <n v="216"/>
    <s v="#PepsiCoRefresh"/>
    <n v="3486"/>
    <n v="10.146299483648882"/>
  </r>
  <r>
    <s v="P045"/>
    <x v="3"/>
    <s v="Video"/>
    <n v="3371"/>
    <n v="106"/>
    <n v="327"/>
    <n v="50565"/>
    <n v="176"/>
    <s v="#LiveForNow"/>
    <n v="3804"/>
    <n v="13.292586750788644"/>
  </r>
  <r>
    <s v="P046"/>
    <x v="0"/>
    <s v="Video"/>
    <n v="1108"/>
    <n v="177"/>
    <n v="212"/>
    <n v="8864"/>
    <n v="97"/>
    <s v="#PepsiCoRefresh"/>
    <n v="1497"/>
    <n v="5.9211756847027388"/>
  </r>
  <r>
    <s v="P047"/>
    <x v="0"/>
    <s v="Carousel"/>
    <n v="2704"/>
    <n v="752"/>
    <n v="153"/>
    <n v="21632"/>
    <n v="127"/>
    <s v="#LiveForNow"/>
    <n v="3609"/>
    <n v="5.9939041285674701"/>
  </r>
  <r>
    <s v="P048"/>
    <x v="0"/>
    <s v="Story"/>
    <n v="1950"/>
    <n v="295"/>
    <n v="478"/>
    <n v="37050"/>
    <n v="119"/>
    <s v="#PepsiCoRefresh"/>
    <n v="2723"/>
    <n v="13.606316562614763"/>
  </r>
  <r>
    <s v="P049"/>
    <x v="0"/>
    <s v="Story"/>
    <n v="2164"/>
    <n v="549"/>
    <n v="274"/>
    <n v="28132"/>
    <n v="177"/>
    <s v="#PepsiCoRefresh"/>
    <n v="2987"/>
    <n v="9.4181452962838961"/>
  </r>
  <r>
    <s v="P050"/>
    <x v="1"/>
    <s v="Story"/>
    <n v="2754"/>
    <n v="130"/>
    <n v="90"/>
    <n v="22032"/>
    <n v="112"/>
    <s v="#PepsiCoRefresh"/>
    <n v="2974"/>
    <n v="7.4082044384667114"/>
  </r>
  <r>
    <s v="P051"/>
    <x v="3"/>
    <s v="Carousel"/>
    <n v="2200"/>
    <n v="504"/>
    <n v="239"/>
    <n v="37400"/>
    <n v="225"/>
    <s v="#LiveForNow"/>
    <n v="2943"/>
    <n v="12.708120965001699"/>
  </r>
  <r>
    <s v="P052"/>
    <x v="3"/>
    <s v="Image"/>
    <n v="947"/>
    <n v="338"/>
    <n v="350"/>
    <n v="10417"/>
    <n v="34"/>
    <s v="#PepsiCoRefresh"/>
    <n v="1635"/>
    <n v="6.3712538226299698"/>
  </r>
  <r>
    <s v="P053"/>
    <x v="1"/>
    <s v="Carousel"/>
    <n v="804"/>
    <n v="639"/>
    <n v="43"/>
    <n v="4020"/>
    <n v="11"/>
    <s v="#ThirstyForMore,#BetterWithPepsi"/>
    <n v="1486"/>
    <n v="2.7052489905787347"/>
  </r>
  <r>
    <s v="P054"/>
    <x v="1"/>
    <s v="Carousel"/>
    <n v="1686"/>
    <n v="904"/>
    <n v="472"/>
    <n v="18546"/>
    <n v="52"/>
    <s v="#LiveForNow"/>
    <n v="3062"/>
    <n v="6.0568256041802746"/>
  </r>
  <r>
    <s v="P055"/>
    <x v="3"/>
    <s v="Image"/>
    <n v="1226"/>
    <n v="119"/>
    <n v="7"/>
    <n v="14712"/>
    <n v="123"/>
    <s v="#ThirstyForMore"/>
    <n v="1352"/>
    <n v="10.881656804733728"/>
  </r>
  <r>
    <s v="P056"/>
    <x v="3"/>
    <s v="Carousel"/>
    <n v="2946"/>
    <n v="498"/>
    <n v="367"/>
    <n v="29460"/>
    <n v="60"/>
    <s v="#LiveForNow"/>
    <n v="3811"/>
    <n v="7.7302545263710316"/>
  </r>
  <r>
    <s v="P057"/>
    <x v="0"/>
    <s v="Video"/>
    <n v="2825"/>
    <n v="535"/>
    <n v="295"/>
    <n v="45200"/>
    <n v="169"/>
    <s v="#PepsiCoRefresh"/>
    <n v="3655"/>
    <n v="12.366621067031463"/>
  </r>
  <r>
    <s v="P058"/>
    <x v="2"/>
    <s v="Reel"/>
    <n v="103"/>
    <n v="770"/>
    <n v="19"/>
    <n v="1030"/>
    <n v="262"/>
    <s v="#PepsiCoRefresh"/>
    <n v="892"/>
    <n v="1.1547085201793721"/>
  </r>
  <r>
    <s v="P059"/>
    <x v="2"/>
    <s v="Text"/>
    <n v="2180"/>
    <n v="263"/>
    <n v="387"/>
    <n v="30520"/>
    <n v="174"/>
    <s v="#ThirstyForMore"/>
    <n v="2830"/>
    <n v="10.784452296819788"/>
  </r>
  <r>
    <s v="P060"/>
    <x v="2"/>
    <s v="Video"/>
    <n v="904"/>
    <n v="973"/>
    <n v="63"/>
    <n v="11752"/>
    <n v="84"/>
    <s v="#ThirstyForMore,#PepsiCoRefresh,#AnytimeIsPepsiTime"/>
    <n v="1940"/>
    <n v="6.0577319587628864"/>
  </r>
  <r>
    <s v="P061"/>
    <x v="0"/>
    <s v="Video"/>
    <n v="4886"/>
    <n v="983"/>
    <n v="409"/>
    <n v="43974"/>
    <n v="65"/>
    <s v="#PepsiCoRefresh"/>
    <n v="6278"/>
    <n v="7.0044600191143678"/>
  </r>
  <r>
    <s v="P062"/>
    <x v="0"/>
    <s v="Carousel"/>
    <n v="53"/>
    <n v="81"/>
    <n v="379"/>
    <n v="954"/>
    <n v="148"/>
    <s v="#PepsiCoRefresh"/>
    <n v="513"/>
    <n v="1.8596491228070176"/>
  </r>
  <r>
    <s v="P063"/>
    <x v="0"/>
    <s v="Carousel"/>
    <n v="4507"/>
    <n v="217"/>
    <n v="13"/>
    <n v="90140"/>
    <n v="125"/>
    <s v="#LiveForNow"/>
    <n v="4737"/>
    <n v="19.028921258180283"/>
  </r>
  <r>
    <s v="P064"/>
    <x v="3"/>
    <s v="Image"/>
    <n v="2878"/>
    <n v="248"/>
    <n v="416"/>
    <n v="43170"/>
    <n v="75"/>
    <s v="#LiveForNow"/>
    <n v="3542"/>
    <n v="12.188029361942405"/>
  </r>
  <r>
    <s v="P065"/>
    <x v="2"/>
    <s v="Story"/>
    <n v="1881"/>
    <n v="501"/>
    <n v="99"/>
    <n v="20691"/>
    <n v="289"/>
    <s v="#ThirstyForMore"/>
    <n v="2481"/>
    <n v="8.3397823458282954"/>
  </r>
  <r>
    <s v="P066"/>
    <x v="0"/>
    <s v="Carousel"/>
    <n v="432"/>
    <n v="171"/>
    <n v="280"/>
    <n v="3024"/>
    <n v="184"/>
    <s v="#ThirstyForMore"/>
    <n v="883"/>
    <n v="3.4246885617214042"/>
  </r>
  <r>
    <s v="P067"/>
    <x v="3"/>
    <s v="Carousel"/>
    <n v="4712"/>
    <n v="568"/>
    <n v="127"/>
    <n v="84816"/>
    <n v="100"/>
    <s v="#ThirstyForMore"/>
    <n v="5407"/>
    <n v="15.686332531903089"/>
  </r>
  <r>
    <s v="P068"/>
    <x v="2"/>
    <s v="Story"/>
    <n v="2610"/>
    <n v="126"/>
    <n v="288"/>
    <n v="15660"/>
    <n v="73"/>
    <s v="#ThirstyForMore"/>
    <n v="3024"/>
    <n v="5.1785714285714288"/>
  </r>
  <r>
    <s v="P069"/>
    <x v="0"/>
    <s v="Text"/>
    <n v="1292"/>
    <n v="626"/>
    <n v="496"/>
    <n v="25840"/>
    <n v="149"/>
    <s v="#LiveForNow"/>
    <n v="2414"/>
    <n v="10.704225352112676"/>
  </r>
  <r>
    <s v="P070"/>
    <x v="3"/>
    <s v="Video"/>
    <n v="199"/>
    <n v="772"/>
    <n v="400"/>
    <n v="3582"/>
    <n v="43"/>
    <s v="#PepsiCoRefresh"/>
    <n v="1371"/>
    <n v="2.6126914660831511"/>
  </r>
  <r>
    <s v="P071"/>
    <x v="1"/>
    <s v="Carousel"/>
    <n v="2551"/>
    <n v="915"/>
    <n v="205"/>
    <n v="30612"/>
    <n v="227"/>
    <s v="#PepsiCoRefresh"/>
    <n v="3671"/>
    <n v="8.3388722418959418"/>
  </r>
  <r>
    <s v="P072"/>
    <x v="1"/>
    <s v="Reel"/>
    <n v="296"/>
    <n v="60"/>
    <n v="141"/>
    <n v="5624"/>
    <n v="88"/>
    <s v="#ThirstyForMore"/>
    <n v="497"/>
    <n v="11.315895372233401"/>
  </r>
  <r>
    <s v="P073"/>
    <x v="3"/>
    <s v="Story"/>
    <n v="4126"/>
    <n v="426"/>
    <n v="486"/>
    <n v="78394"/>
    <n v="88"/>
    <s v="#LiveForNow"/>
    <n v="5038"/>
    <n v="15.560539896784439"/>
  </r>
  <r>
    <s v="P074"/>
    <x v="1"/>
    <s v="Reel"/>
    <n v="1855"/>
    <n v="200"/>
    <n v="174"/>
    <n v="16695"/>
    <n v="123"/>
    <s v="#PepsiCoRefresh"/>
    <n v="2229"/>
    <n v="7.4899057873485866"/>
  </r>
  <r>
    <s v="P075"/>
    <x v="2"/>
    <s v="Reel"/>
    <n v="1674"/>
    <n v="929"/>
    <n v="37"/>
    <n v="21762"/>
    <n v="255"/>
    <s v="#PepsiCoRefresh"/>
    <n v="2640"/>
    <n v="8.2431818181818191"/>
  </r>
  <r>
    <s v="P076"/>
    <x v="0"/>
    <s v="Story"/>
    <n v="1121"/>
    <n v="135"/>
    <n v="18"/>
    <n v="15694"/>
    <n v="99"/>
    <s v="#PepsiCoRefresh"/>
    <n v="1274"/>
    <n v="12.318681318681319"/>
  </r>
  <r>
    <s v="P077"/>
    <x v="3"/>
    <s v="Story"/>
    <n v="1249"/>
    <n v="116"/>
    <n v="420"/>
    <n v="8743"/>
    <n v="63"/>
    <s v="#PepsiCoRefresh"/>
    <n v="1785"/>
    <n v="4.8980392156862749"/>
  </r>
  <r>
    <s v="P078"/>
    <x v="0"/>
    <s v="Image"/>
    <n v="954"/>
    <n v="324"/>
    <n v="288"/>
    <n v="19080"/>
    <n v="21"/>
    <s v="#LiveForNow"/>
    <n v="1566"/>
    <n v="12.183908045977011"/>
  </r>
  <r>
    <s v="P079"/>
    <x v="2"/>
    <s v="Carousel"/>
    <n v="3068"/>
    <n v="137"/>
    <n v="329"/>
    <n v="39884"/>
    <n v="266"/>
    <s v="#ThirstyForMore"/>
    <n v="3534"/>
    <n v="11.285795132993774"/>
  </r>
  <r>
    <s v="P080"/>
    <x v="2"/>
    <s v="Story"/>
    <n v="2103"/>
    <n v="892"/>
    <n v="103"/>
    <n v="39957"/>
    <n v="28"/>
    <s v="#LiveForNow"/>
    <n v="3098"/>
    <n v="12.897675919948353"/>
  </r>
  <r>
    <s v="P081"/>
    <x v="2"/>
    <s v="Story"/>
    <n v="1816"/>
    <n v="29"/>
    <n v="41"/>
    <n v="19976"/>
    <n v="283"/>
    <s v="#PepsiCoRefresh"/>
    <n v="1886"/>
    <n v="10.591728525980912"/>
  </r>
  <r>
    <s v="P082"/>
    <x v="2"/>
    <s v="Image"/>
    <n v="725"/>
    <n v="88"/>
    <n v="428"/>
    <n v="14500"/>
    <n v="200"/>
    <s v="#LiveForNow,#PepsiCoRefresh,#AnytimeIsPepsiTime"/>
    <n v="1241"/>
    <n v="11.684125705076552"/>
  </r>
  <r>
    <s v="P083"/>
    <x v="1"/>
    <s v="Video"/>
    <n v="1094"/>
    <n v="472"/>
    <n v="21"/>
    <n v="9846"/>
    <n v="112"/>
    <s v="#ThirstyForMore"/>
    <n v="1587"/>
    <n v="6.2041587901701325"/>
  </r>
  <r>
    <s v="P084"/>
    <x v="3"/>
    <s v="Image"/>
    <n v="1841"/>
    <n v="851"/>
    <n v="342"/>
    <n v="34979"/>
    <n v="255"/>
    <s v="#LiveForNow"/>
    <n v="3034"/>
    <n v="11.529004614370468"/>
  </r>
  <r>
    <s v="P085"/>
    <x v="2"/>
    <s v="Image"/>
    <n v="4177"/>
    <n v="569"/>
    <n v="55"/>
    <n v="25062"/>
    <n v="230"/>
    <s v="#LiveForNow"/>
    <n v="4801"/>
    <n v="5.2201624661528845"/>
  </r>
  <r>
    <s v="P086"/>
    <x v="1"/>
    <s v="Text"/>
    <n v="3428"/>
    <n v="305"/>
    <n v="85"/>
    <n v="58276"/>
    <n v="242"/>
    <s v="#ThirstyForMore,#BetterWithPepsi"/>
    <n v="3818"/>
    <n v="15.263488737558932"/>
  </r>
  <r>
    <s v="P087"/>
    <x v="0"/>
    <s v="Video"/>
    <n v="1436"/>
    <n v="765"/>
    <n v="496"/>
    <n v="12924"/>
    <n v="197"/>
    <s v="#LiveForNow"/>
    <n v="2697"/>
    <n v="4.7919911012235819"/>
  </r>
  <r>
    <s v="P088"/>
    <x v="3"/>
    <s v="Story"/>
    <n v="302"/>
    <n v="47"/>
    <n v="430"/>
    <n v="5738"/>
    <n v="25"/>
    <s v="#PepsiCoRefresh"/>
    <n v="779"/>
    <n v="7.3658536585365857"/>
  </r>
  <r>
    <s v="P089"/>
    <x v="0"/>
    <s v="Image"/>
    <n v="2214"/>
    <n v="249"/>
    <n v="152"/>
    <n v="15498"/>
    <n v="180"/>
    <s v="#ThirstyForMore"/>
    <n v="2615"/>
    <n v="5.9265774378585085"/>
  </r>
  <r>
    <s v="P090"/>
    <x v="2"/>
    <s v="Image"/>
    <n v="3861"/>
    <n v="960"/>
    <n v="101"/>
    <n v="69498"/>
    <n v="297"/>
    <s v="#PepsiCoRefresh"/>
    <n v="4922"/>
    <n v="14.119869971556279"/>
  </r>
  <r>
    <s v="P091"/>
    <x v="3"/>
    <s v="Image"/>
    <n v="1263"/>
    <n v="397"/>
    <n v="357"/>
    <n v="25260"/>
    <n v="137"/>
    <s v="#ThirstyForMore"/>
    <n v="2017"/>
    <n v="12.523549826474962"/>
  </r>
  <r>
    <s v="P092"/>
    <x v="0"/>
    <s v="Story"/>
    <n v="3801"/>
    <n v="967"/>
    <n v="401"/>
    <n v="38010"/>
    <n v="236"/>
    <s v="#LiveForNow"/>
    <n v="5169"/>
    <n v="7.3534532791642482"/>
  </r>
  <r>
    <s v="P093"/>
    <x v="2"/>
    <s v="Video"/>
    <n v="1431"/>
    <n v="951"/>
    <n v="26"/>
    <n v="8586"/>
    <n v="150"/>
    <s v="#ThirstyForMore"/>
    <n v="2408"/>
    <n v="3.5656146179401995"/>
  </r>
  <r>
    <s v="P094"/>
    <x v="2"/>
    <s v="Image"/>
    <n v="2647"/>
    <n v="304"/>
    <n v="170"/>
    <n v="18529"/>
    <n v="46"/>
    <s v="#LiveForNow"/>
    <n v="3121"/>
    <n v="5.9368792053828905"/>
  </r>
  <r>
    <s v="P095"/>
    <x v="2"/>
    <s v="Text"/>
    <n v="3182"/>
    <n v="559"/>
    <n v="160"/>
    <n v="57276"/>
    <n v="163"/>
    <s v="#LiveForNow"/>
    <n v="3901"/>
    <n v="14.682389130992053"/>
  </r>
  <r>
    <s v="P096"/>
    <x v="0"/>
    <s v="Image"/>
    <n v="1238"/>
    <n v="366"/>
    <n v="444"/>
    <n v="19808"/>
    <n v="123"/>
    <s v="#LiveForNow"/>
    <n v="2048"/>
    <n v="9.671875"/>
  </r>
  <r>
    <s v="P097"/>
    <x v="2"/>
    <s v="Image"/>
    <n v="4739"/>
    <n v="527"/>
    <n v="135"/>
    <n v="61607"/>
    <n v="36"/>
    <s v="#PepsiCoRefresh,#AnytimeIsPepsiTime"/>
    <n v="5401"/>
    <n v="11.406591371968155"/>
  </r>
  <r>
    <s v="P098"/>
    <x v="0"/>
    <s v="Story"/>
    <n v="1575"/>
    <n v="771"/>
    <n v="486"/>
    <n v="25200"/>
    <n v="17"/>
    <s v="#LiveForNow"/>
    <n v="2832"/>
    <n v="8.898305084745763"/>
  </r>
  <r>
    <s v="P099"/>
    <x v="1"/>
    <s v="Carousel"/>
    <n v="4171"/>
    <n v="548"/>
    <n v="86"/>
    <n v="66736"/>
    <n v="173"/>
    <s v="#LiveForNow"/>
    <n v="4805"/>
    <n v="13.888865764828305"/>
  </r>
  <r>
    <s v="P100"/>
    <x v="1"/>
    <s v="Video"/>
    <n v="1766"/>
    <n v="92"/>
    <n v="424"/>
    <n v="24724"/>
    <n v="52"/>
    <s v="#ThirstyForMore"/>
    <n v="2282"/>
    <n v="10.834355828220859"/>
  </r>
  <r>
    <s v="P101"/>
    <x v="1"/>
    <s v="Video"/>
    <n v="4450"/>
    <n v="983"/>
    <n v="143"/>
    <n v="75650"/>
    <n v="12"/>
    <s v="#LiveForNow"/>
    <n v="5576"/>
    <n v="13.567073170731707"/>
  </r>
  <r>
    <s v="P102"/>
    <x v="0"/>
    <s v="Reel"/>
    <n v="1000"/>
    <n v="978"/>
    <n v="162"/>
    <n v="6000"/>
    <n v="223"/>
    <s v="#ThirstyForMore"/>
    <n v="2140"/>
    <n v="2.8037383177570092"/>
  </r>
  <r>
    <s v="P103"/>
    <x v="3"/>
    <s v="Image"/>
    <n v="3689"/>
    <n v="48"/>
    <n v="306"/>
    <n v="40579"/>
    <n v="212"/>
    <s v="#ThirstyForMore"/>
    <n v="4043"/>
    <n v="10.036853821419738"/>
  </r>
  <r>
    <s v="P104"/>
    <x v="1"/>
    <s v="Story"/>
    <n v="3655"/>
    <n v="568"/>
    <n v="286"/>
    <n v="32895"/>
    <n v="199"/>
    <s v="#PepsiCoRefresh"/>
    <n v="4509"/>
    <n v="7.2954091816367264"/>
  </r>
  <r>
    <s v="P105"/>
    <x v="2"/>
    <s v="Carousel"/>
    <n v="498"/>
    <n v="38"/>
    <n v="42"/>
    <n v="4482"/>
    <n v="32"/>
    <s v="#LiveForNow"/>
    <n v="578"/>
    <n v="7.7543252595155705"/>
  </r>
  <r>
    <s v="P106"/>
    <x v="2"/>
    <s v="Image"/>
    <n v="4619"/>
    <n v="821"/>
    <n v="499"/>
    <n v="69285"/>
    <n v="298"/>
    <s v="#PepsiCoRefresh"/>
    <n v="5939"/>
    <n v="11.666105404950329"/>
  </r>
  <r>
    <s v="P107"/>
    <x v="1"/>
    <s v="Image"/>
    <n v="4832"/>
    <n v="893"/>
    <n v="10"/>
    <n v="91808"/>
    <n v="182"/>
    <s v="#PepsiCoRefresh"/>
    <n v="5735"/>
    <n v="16.008369659982563"/>
  </r>
  <r>
    <s v="P108"/>
    <x v="0"/>
    <s v="Video"/>
    <n v="4050"/>
    <n v="871"/>
    <n v="347"/>
    <n v="52650"/>
    <n v="209"/>
    <s v="#PepsiCoRefresh"/>
    <n v="5268"/>
    <n v="9.9943052391799547"/>
  </r>
  <r>
    <s v="P109"/>
    <x v="0"/>
    <s v="Story"/>
    <n v="3649"/>
    <n v="215"/>
    <n v="413"/>
    <n v="25543"/>
    <n v="167"/>
    <s v="#LiveForNow"/>
    <n v="4277"/>
    <n v="5.9721767594108019"/>
  </r>
  <r>
    <s v="P110"/>
    <x v="2"/>
    <s v="Reel"/>
    <n v="3523"/>
    <n v="753"/>
    <n v="482"/>
    <n v="38753"/>
    <n v="270"/>
    <s v="#ThirstyForMore"/>
    <n v="4758"/>
    <n v="8.1448087431693992"/>
  </r>
  <r>
    <s v="P111"/>
    <x v="1"/>
    <s v="Image"/>
    <n v="2719"/>
    <n v="17"/>
    <n v="285"/>
    <n v="40785"/>
    <n v="40"/>
    <s v="#PepsiCoRefresh"/>
    <n v="3021"/>
    <n v="13.500496524329693"/>
  </r>
  <r>
    <s v="P112"/>
    <x v="0"/>
    <s v="Story"/>
    <n v="1957"/>
    <n v="877"/>
    <n v="238"/>
    <n v="17613"/>
    <n v="297"/>
    <s v="#LiveForNow"/>
    <n v="3072"/>
    <n v="5.7333984375"/>
  </r>
  <r>
    <s v="P113"/>
    <x v="0"/>
    <s v="Carousel"/>
    <n v="4419"/>
    <n v="236"/>
    <n v="369"/>
    <n v="44190"/>
    <n v="10"/>
    <s v="#ThirstyForMore"/>
    <n v="5024"/>
    <n v="8.7957802547770694"/>
  </r>
  <r>
    <s v="P114"/>
    <x v="0"/>
    <s v="Story"/>
    <n v="4000"/>
    <n v="689"/>
    <n v="488"/>
    <n v="40000"/>
    <n v="44"/>
    <s v="#LiveForNow"/>
    <n v="5177"/>
    <n v="7.7264825188333015"/>
  </r>
  <r>
    <s v="P115"/>
    <x v="0"/>
    <s v="Image"/>
    <n v="2493"/>
    <n v="97"/>
    <n v="44"/>
    <n v="42381"/>
    <n v="242"/>
    <s v="#PepsiCoRefresh,#AnytimeIsPepsiTime"/>
    <n v="2634"/>
    <n v="16.089977220956719"/>
  </r>
  <r>
    <s v="P116"/>
    <x v="1"/>
    <s v="Reel"/>
    <n v="3704"/>
    <n v="186"/>
    <n v="458"/>
    <n v="25928"/>
    <n v="131"/>
    <s v="#PepsiCoRefresh"/>
    <n v="4348"/>
    <n v="5.9632014719411224"/>
  </r>
  <r>
    <s v="P117"/>
    <x v="0"/>
    <s v="Image"/>
    <n v="1606"/>
    <n v="451"/>
    <n v="405"/>
    <n v="20878"/>
    <n v="219"/>
    <s v="#ThirstyForMore"/>
    <n v="2462"/>
    <n v="8.4800974817221775"/>
  </r>
  <r>
    <s v="P118"/>
    <x v="3"/>
    <s v="Image"/>
    <n v="4551"/>
    <n v="714"/>
    <n v="207"/>
    <n v="68265"/>
    <n v="57"/>
    <s v="#LiveForNow"/>
    <n v="5472"/>
    <n v="12.475328947368421"/>
  </r>
  <r>
    <s v="P119"/>
    <x v="2"/>
    <s v="Reel"/>
    <n v="1970"/>
    <n v="675"/>
    <n v="478"/>
    <n v="9850"/>
    <n v="117"/>
    <s v="#LiveForNow"/>
    <n v="3123"/>
    <n v="3.1540185718860072"/>
  </r>
  <r>
    <s v="P120"/>
    <x v="3"/>
    <s v="Story"/>
    <n v="780"/>
    <n v="928"/>
    <n v="301"/>
    <n v="8580"/>
    <n v="91"/>
    <s v="#ThirstyForMore"/>
    <n v="2009"/>
    <n v="4.2707814833250373"/>
  </r>
  <r>
    <s v="P121"/>
    <x v="2"/>
    <s v="Story"/>
    <n v="498"/>
    <n v="701"/>
    <n v="412"/>
    <n v="4980"/>
    <n v="185"/>
    <s v="#LiveForNow"/>
    <n v="1611"/>
    <n v="3.0912476722532589"/>
  </r>
  <r>
    <s v="P122"/>
    <x v="2"/>
    <s v="Text"/>
    <n v="3432"/>
    <n v="869"/>
    <n v="123"/>
    <n v="54912"/>
    <n v="264"/>
    <s v="#ThirstyForMore"/>
    <n v="4424"/>
    <n v="12.412296564195298"/>
  </r>
  <r>
    <s v="P123"/>
    <x v="2"/>
    <s v="Story"/>
    <n v="4363"/>
    <n v="649"/>
    <n v="140"/>
    <n v="21815"/>
    <n v="157"/>
    <s v="#ThirstyForMore"/>
    <n v="5152"/>
    <n v="4.2342779503105588"/>
  </r>
  <r>
    <s v="P124"/>
    <x v="1"/>
    <s v="Carousel"/>
    <n v="736"/>
    <n v="771"/>
    <n v="225"/>
    <n v="5152"/>
    <n v="19"/>
    <s v="#ThirstyForMore"/>
    <n v="1732"/>
    <n v="2.9745958429561199"/>
  </r>
  <r>
    <s v="P125"/>
    <x v="0"/>
    <s v="Carousel"/>
    <n v="3811"/>
    <n v="866"/>
    <n v="216"/>
    <n v="34299"/>
    <n v="233"/>
    <s v="#PepsiCoRefresh"/>
    <n v="4893"/>
    <n v="7.0098099325567134"/>
  </r>
  <r>
    <s v="P126"/>
    <x v="2"/>
    <s v="Carousel"/>
    <n v="4158"/>
    <n v="167"/>
    <n v="241"/>
    <n v="45738"/>
    <n v="142"/>
    <s v="#LiveForNow"/>
    <n v="4566"/>
    <n v="10.017082785808148"/>
  </r>
  <r>
    <s v="P127"/>
    <x v="3"/>
    <s v="Reel"/>
    <n v="3452"/>
    <n v="652"/>
    <n v="442"/>
    <n v="65588"/>
    <n v="158"/>
    <s v="#LiveForNow"/>
    <n v="4546"/>
    <n v="14.427628684557853"/>
  </r>
  <r>
    <s v="P128"/>
    <x v="0"/>
    <s v="Image"/>
    <n v="3092"/>
    <n v="106"/>
    <n v="291"/>
    <n v="27828"/>
    <n v="102"/>
    <s v="#LiveForNow"/>
    <n v="3489"/>
    <n v="7.9759243336199486"/>
  </r>
  <r>
    <s v="P129"/>
    <x v="0"/>
    <s v="Text"/>
    <n v="2147"/>
    <n v="430"/>
    <n v="393"/>
    <n v="17176"/>
    <n v="170"/>
    <s v="#PepsiCoRefresh"/>
    <n v="2970"/>
    <n v="5.7831649831649834"/>
  </r>
  <r>
    <s v="P130"/>
    <x v="1"/>
    <s v="Reel"/>
    <n v="2936"/>
    <n v="439"/>
    <n v="44"/>
    <n v="38168"/>
    <n v="22"/>
    <s v="#ThirstyForMore"/>
    <n v="3419"/>
    <n v="11.163498098859316"/>
  </r>
  <r>
    <s v="P131"/>
    <x v="2"/>
    <s v="Reel"/>
    <n v="4840"/>
    <n v="658"/>
    <n v="211"/>
    <n v="43560"/>
    <n v="57"/>
    <s v="#LiveForNow"/>
    <n v="5709"/>
    <n v="7.6300578034682083"/>
  </r>
  <r>
    <s v="P132"/>
    <x v="2"/>
    <s v="Story"/>
    <n v="1947"/>
    <n v="842"/>
    <n v="101"/>
    <n v="21417"/>
    <n v="186"/>
    <s v="#LiveForNow"/>
    <n v="2890"/>
    <n v="7.4107266435986157"/>
  </r>
  <r>
    <s v="P133"/>
    <x v="3"/>
    <s v="Image"/>
    <n v="2072"/>
    <n v="532"/>
    <n v="71"/>
    <n v="37296"/>
    <n v="25"/>
    <s v="#PepsiCoRefresh"/>
    <n v="2675"/>
    <n v="13.942429906542056"/>
  </r>
  <r>
    <s v="P134"/>
    <x v="0"/>
    <s v="Reel"/>
    <n v="3731"/>
    <n v="115"/>
    <n v="135"/>
    <n v="55965"/>
    <n v="103"/>
    <s v="#PepsiCoRefresh"/>
    <n v="3981"/>
    <n v="14.05802562170309"/>
  </r>
  <r>
    <s v="P135"/>
    <x v="3"/>
    <s v="Text"/>
    <n v="4213"/>
    <n v="253"/>
    <n v="434"/>
    <n v="75834"/>
    <n v="272"/>
    <s v="#LiveForNow"/>
    <n v="4900"/>
    <n v="15.476326530612244"/>
  </r>
  <r>
    <s v="P136"/>
    <x v="2"/>
    <s v="Text"/>
    <n v="3134"/>
    <n v="888"/>
    <n v="444"/>
    <n v="21938"/>
    <n v="130"/>
    <s v="#ThirstyForMore"/>
    <n v="4466"/>
    <n v="4.9122257053291536"/>
  </r>
  <r>
    <s v="P137"/>
    <x v="3"/>
    <s v="Video"/>
    <n v="3008"/>
    <n v="94"/>
    <n v="37"/>
    <n v="15040"/>
    <n v="277"/>
    <s v="#LiveForNow"/>
    <n v="3139"/>
    <n v="4.7913348200063712"/>
  </r>
  <r>
    <s v="P138"/>
    <x v="0"/>
    <s v="Image"/>
    <n v="305"/>
    <n v="187"/>
    <n v="243"/>
    <n v="4575"/>
    <n v="234"/>
    <s v="#LiveForNow"/>
    <n v="735"/>
    <n v="6.2244897959183669"/>
  </r>
  <r>
    <s v="P139"/>
    <x v="1"/>
    <s v="Text"/>
    <n v="2746"/>
    <n v="156"/>
    <n v="203"/>
    <n v="32952"/>
    <n v="147"/>
    <s v="#ThirstyForMore"/>
    <n v="3105"/>
    <n v="10.612560386473429"/>
  </r>
  <r>
    <s v="P140"/>
    <x v="3"/>
    <s v="Image"/>
    <n v="2291"/>
    <n v="78"/>
    <n v="485"/>
    <n v="18328"/>
    <n v="10"/>
    <s v="#ThirstyForMore,#SmoothLikeNitroPepsi"/>
    <n v="2854"/>
    <n v="6.4218640504555013"/>
  </r>
  <r>
    <s v="P141"/>
    <x v="0"/>
    <s v="Image"/>
    <n v="3170"/>
    <n v="857"/>
    <n v="379"/>
    <n v="19020"/>
    <n v="240"/>
    <s v="#LiveForNow"/>
    <n v="4406"/>
    <n v="4.3168406718111667"/>
  </r>
  <r>
    <s v="P142"/>
    <x v="1"/>
    <s v="Story"/>
    <n v="2070"/>
    <n v="275"/>
    <n v="386"/>
    <n v="39330"/>
    <n v="114"/>
    <s v="#LiveForNow"/>
    <n v="2731"/>
    <n v="14.401318198462102"/>
  </r>
  <r>
    <s v="P143"/>
    <x v="1"/>
    <s v="Carousel"/>
    <n v="80"/>
    <n v="362"/>
    <n v="80"/>
    <n v="1040"/>
    <n v="117"/>
    <s v="#PepsiCoRefresh"/>
    <n v="522"/>
    <n v="1.9923371647509578"/>
  </r>
  <r>
    <s v="P144"/>
    <x v="1"/>
    <s v="Story"/>
    <n v="4929"/>
    <n v="749"/>
    <n v="452"/>
    <n v="93651"/>
    <n v="66"/>
    <s v="#ThirstyForMore"/>
    <n v="6130"/>
    <n v="15.277487765089722"/>
  </r>
  <r>
    <s v="P145"/>
    <x v="2"/>
    <s v="Carousel"/>
    <n v="1878"/>
    <n v="62"/>
    <n v="179"/>
    <n v="37560"/>
    <n v="142"/>
    <s v="#PepsiCoRefresh"/>
    <n v="2119"/>
    <n v="17.725342142520056"/>
  </r>
  <r>
    <s v="P146"/>
    <x v="1"/>
    <s v="Reel"/>
    <n v="3065"/>
    <n v="772"/>
    <n v="142"/>
    <n v="18390"/>
    <n v="200"/>
    <s v="#ThirstyForMore,#AnytimeIsPepsiTime"/>
    <n v="3979"/>
    <n v="4.6217642623774822"/>
  </r>
  <r>
    <s v="P147"/>
    <x v="2"/>
    <s v="Reel"/>
    <n v="3256"/>
    <n v="459"/>
    <n v="266"/>
    <n v="26048"/>
    <n v="143"/>
    <s v="#PepsiCoRefresh"/>
    <n v="3981"/>
    <n v="6.5430796282341124"/>
  </r>
  <r>
    <s v="P148"/>
    <x v="2"/>
    <s v="Video"/>
    <n v="4133"/>
    <n v="466"/>
    <n v="327"/>
    <n v="24798"/>
    <n v="176"/>
    <s v="#ThirstyForMore"/>
    <n v="4926"/>
    <n v="5.0341047503045067"/>
  </r>
  <r>
    <s v="P149"/>
    <x v="0"/>
    <s v="Video"/>
    <n v="1702"/>
    <n v="750"/>
    <n v="179"/>
    <n v="34040"/>
    <n v="76"/>
    <s v="#ThirstyForMore"/>
    <n v="2631"/>
    <n v="12.938046370201445"/>
  </r>
  <r>
    <s v="P150"/>
    <x v="1"/>
    <s v="Carousel"/>
    <n v="4295"/>
    <n v="853"/>
    <n v="325"/>
    <n v="85900"/>
    <n v="290"/>
    <s v="#PepsiCoRefresh"/>
    <n v="5473"/>
    <n v="15.695231134661064"/>
  </r>
  <r>
    <s v="P151"/>
    <x v="2"/>
    <s v="Image"/>
    <n v="3559"/>
    <n v="59"/>
    <n v="289"/>
    <n v="35590"/>
    <n v="122"/>
    <s v="#ThirstyForMore"/>
    <n v="3907"/>
    <n v="9.1092910161249048"/>
  </r>
  <r>
    <s v="P152"/>
    <x v="3"/>
    <s v="Image"/>
    <n v="4804"/>
    <n v="550"/>
    <n v="270"/>
    <n v="28824"/>
    <n v="47"/>
    <s v="#ThirstyForMore"/>
    <n v="5624"/>
    <n v="5.1251778093883358"/>
  </r>
  <r>
    <s v="P153"/>
    <x v="0"/>
    <s v="Video"/>
    <n v="754"/>
    <n v="197"/>
    <n v="257"/>
    <n v="6786"/>
    <n v="212"/>
    <s v="#PepsiCoRefresh"/>
    <n v="1208"/>
    <n v="5.6175496688741724"/>
  </r>
  <r>
    <s v="P154"/>
    <x v="2"/>
    <s v="Carousel"/>
    <n v="985"/>
    <n v="932"/>
    <n v="287"/>
    <n v="6895"/>
    <n v="64"/>
    <s v="#LiveForNow"/>
    <n v="2204"/>
    <n v="3.1284029038112524"/>
  </r>
  <r>
    <s v="P155"/>
    <x v="1"/>
    <s v="Image"/>
    <n v="2283"/>
    <n v="210"/>
    <n v="130"/>
    <n v="22830"/>
    <n v="143"/>
    <s v="#LiveForNow"/>
    <n v="2623"/>
    <n v="8.7037743042317963"/>
  </r>
  <r>
    <s v="P156"/>
    <x v="3"/>
    <s v="Carousel"/>
    <n v="3352"/>
    <n v="941"/>
    <n v="482"/>
    <n v="43576"/>
    <n v="240"/>
    <s v="#LiveForNow"/>
    <n v="4775"/>
    <n v="9.1258638743455496"/>
  </r>
  <r>
    <s v="P157"/>
    <x v="1"/>
    <s v="Story"/>
    <n v="4775"/>
    <n v="173"/>
    <n v="206"/>
    <n v="47750"/>
    <n v="187"/>
    <s v="#LiveForNow"/>
    <n v="5154"/>
    <n v="9.2646488164532403"/>
  </r>
  <r>
    <s v="P158"/>
    <x v="2"/>
    <s v="Story"/>
    <n v="1762"/>
    <n v="405"/>
    <n v="423"/>
    <n v="22906"/>
    <n v="25"/>
    <s v="#PepsiCoRefresh"/>
    <n v="2590"/>
    <n v="8.8440154440154437"/>
  </r>
  <r>
    <s v="P159"/>
    <x v="3"/>
    <s v="Story"/>
    <n v="2120"/>
    <n v="158"/>
    <n v="488"/>
    <n v="12720"/>
    <n v="17"/>
    <s v="#LiveForNow"/>
    <n v="2766"/>
    <n v="4.5986984815618221"/>
  </r>
  <r>
    <s v="P160"/>
    <x v="0"/>
    <s v="Video"/>
    <n v="1082"/>
    <n v="209"/>
    <n v="484"/>
    <n v="19476"/>
    <n v="20"/>
    <s v="#PepsiCoRefresh"/>
    <n v="1775"/>
    <n v="10.972394366197182"/>
  </r>
  <r>
    <s v="P161"/>
    <x v="0"/>
    <s v="Text"/>
    <n v="4671"/>
    <n v="876"/>
    <n v="366"/>
    <n v="51381"/>
    <n v="245"/>
    <s v="#PepsiCoRefresh"/>
    <n v="5913"/>
    <n v="8.6894977168949765"/>
  </r>
  <r>
    <s v="P162"/>
    <x v="3"/>
    <s v="Story"/>
    <n v="3430"/>
    <n v="566"/>
    <n v="164"/>
    <n v="48020"/>
    <n v="120"/>
    <s v="#LiveForNow"/>
    <n v="4160"/>
    <n v="11.54326923076923"/>
  </r>
  <r>
    <s v="P163"/>
    <x v="2"/>
    <s v="Image"/>
    <n v="4501"/>
    <n v="375"/>
    <n v="323"/>
    <n v="22505"/>
    <n v="132"/>
    <s v="#PepsiCoRefresh"/>
    <n v="5199"/>
    <n v="4.3287170609732639"/>
  </r>
  <r>
    <s v="P164"/>
    <x v="1"/>
    <s v="Text"/>
    <n v="4934"/>
    <n v="971"/>
    <n v="156"/>
    <n v="39472"/>
    <n v="169"/>
    <s v="#PepsiCoRefresh,#AnytimeIsPepsiTime"/>
    <n v="6061"/>
    <n v="6.5124566903151297"/>
  </r>
  <r>
    <s v="P165"/>
    <x v="0"/>
    <s v="Text"/>
    <n v="3239"/>
    <n v="43"/>
    <n v="211"/>
    <n v="22673"/>
    <n v="230"/>
    <s v="#PepsiCoRefresh"/>
    <n v="3493"/>
    <n v="6.4909819639278554"/>
  </r>
  <r>
    <s v="P166"/>
    <x v="0"/>
    <s v="Reel"/>
    <n v="1076"/>
    <n v="313"/>
    <n v="306"/>
    <n v="11836"/>
    <n v="104"/>
    <s v="#LiveForNow"/>
    <n v="1695"/>
    <n v="6.9828908554572271"/>
  </r>
  <r>
    <s v="P167"/>
    <x v="2"/>
    <s v="Text"/>
    <n v="4771"/>
    <n v="818"/>
    <n v="56"/>
    <n v="57252"/>
    <n v="150"/>
    <s v="#LiveForNow"/>
    <n v="5645"/>
    <n v="10.14207263064659"/>
  </r>
  <r>
    <s v="P168"/>
    <x v="3"/>
    <s v="Text"/>
    <n v="2418"/>
    <n v="754"/>
    <n v="54"/>
    <n v="43524"/>
    <n v="182"/>
    <s v="#ThirstyForMore"/>
    <n v="3226"/>
    <n v="13.491630502169869"/>
  </r>
  <r>
    <s v="P169"/>
    <x v="1"/>
    <s v="Video"/>
    <n v="3809"/>
    <n v="273"/>
    <n v="200"/>
    <n v="34281"/>
    <n v="83"/>
    <s v="#ThirstyForMore"/>
    <n v="4282"/>
    <n v="8.0058383932741712"/>
  </r>
  <r>
    <s v="P170"/>
    <x v="0"/>
    <s v="Text"/>
    <n v="3577"/>
    <n v="596"/>
    <n v="493"/>
    <n v="67963"/>
    <n v="53"/>
    <s v="#PepsiCoRefresh"/>
    <n v="4666"/>
    <n v="14.56558079725675"/>
  </r>
  <r>
    <s v="P171"/>
    <x v="1"/>
    <s v="Video"/>
    <n v="1018"/>
    <n v="447"/>
    <n v="332"/>
    <n v="18324"/>
    <n v="38"/>
    <s v="#LiveForNow"/>
    <n v="1797"/>
    <n v="10.196994991652755"/>
  </r>
  <r>
    <s v="P172"/>
    <x v="3"/>
    <s v="Carousel"/>
    <n v="3073"/>
    <n v="553"/>
    <n v="174"/>
    <n v="52241"/>
    <n v="246"/>
    <s v="#ThirstyForMore"/>
    <n v="3800"/>
    <n v="13.747631578947368"/>
  </r>
  <r>
    <s v="P173"/>
    <x v="0"/>
    <s v="Video"/>
    <n v="1330"/>
    <n v="925"/>
    <n v="35"/>
    <n v="15960"/>
    <n v="229"/>
    <s v="#LiveForNow"/>
    <n v="2290"/>
    <n v="6.9694323144104802"/>
  </r>
  <r>
    <s v="P174"/>
    <x v="3"/>
    <s v="Text"/>
    <n v="3828"/>
    <n v="148"/>
    <n v="253"/>
    <n v="30624"/>
    <n v="235"/>
    <s v="#ThirstyForMore"/>
    <n v="4229"/>
    <n v="7.24142823362497"/>
  </r>
  <r>
    <s v="P175"/>
    <x v="2"/>
    <s v="Reel"/>
    <n v="142"/>
    <n v="784"/>
    <n v="183"/>
    <n v="1704"/>
    <n v="154"/>
    <s v="#LiveForNow"/>
    <n v="1109"/>
    <n v="1.5365193868349865"/>
  </r>
  <r>
    <s v="P176"/>
    <x v="3"/>
    <s v="Video"/>
    <n v="3798"/>
    <n v="31"/>
    <n v="279"/>
    <n v="75960"/>
    <n v="266"/>
    <s v="#PepsiCoRefresh"/>
    <n v="4108"/>
    <n v="18.490749756572541"/>
  </r>
  <r>
    <s v="P177"/>
    <x v="2"/>
    <s v="Carousel"/>
    <n v="3099"/>
    <n v="694"/>
    <n v="171"/>
    <n v="43386"/>
    <n v="52"/>
    <s v="#PepsiCoRefresh"/>
    <n v="3964"/>
    <n v="10.945005045408678"/>
  </r>
  <r>
    <s v="P178"/>
    <x v="2"/>
    <s v="Video"/>
    <n v="129"/>
    <n v="643"/>
    <n v="136"/>
    <n v="1290"/>
    <n v="238"/>
    <s v="#PepsiCoRefresh"/>
    <n v="908"/>
    <n v="1.420704845814978"/>
  </r>
  <r>
    <s v="P179"/>
    <x v="3"/>
    <s v="Carousel"/>
    <n v="3796"/>
    <n v="667"/>
    <n v="395"/>
    <n v="64532"/>
    <n v="292"/>
    <s v="#PepsiCoRefresh"/>
    <n v="4858"/>
    <n v="13.283655825442569"/>
  </r>
  <r>
    <s v="P180"/>
    <x v="1"/>
    <s v="Text"/>
    <n v="3711"/>
    <n v="352"/>
    <n v="290"/>
    <n v="48243"/>
    <n v="11"/>
    <s v="#PepsiCoRefresh"/>
    <n v="4353"/>
    <n v="11.082701585113714"/>
  </r>
  <r>
    <s v="P181"/>
    <x v="1"/>
    <s v="Image"/>
    <n v="606"/>
    <n v="789"/>
    <n v="470"/>
    <n v="7878"/>
    <n v="239"/>
    <s v="#ThirstyForMore"/>
    <n v="1865"/>
    <n v="4.2241286863270782"/>
  </r>
  <r>
    <s v="P182"/>
    <x v="3"/>
    <s v="Image"/>
    <n v="4689"/>
    <n v="134"/>
    <n v="403"/>
    <n v="51579"/>
    <n v="173"/>
    <s v="#PepsiCoRefresh"/>
    <n v="5226"/>
    <n v="9.8696900114810564"/>
  </r>
  <r>
    <s v="P183"/>
    <x v="2"/>
    <s v="Story"/>
    <n v="360"/>
    <n v="590"/>
    <n v="393"/>
    <n v="4680"/>
    <n v="208"/>
    <s v="#LiveForNow"/>
    <n v="1343"/>
    <n v="3.4847356664184663"/>
  </r>
  <r>
    <s v="P184"/>
    <x v="0"/>
    <s v="Image"/>
    <n v="3215"/>
    <n v="960"/>
    <n v="202"/>
    <n v="32150"/>
    <n v="251"/>
    <s v="#ThirstyForMore"/>
    <n v="4377"/>
    <n v="7.3452136166323969"/>
  </r>
  <r>
    <s v="P185"/>
    <x v="2"/>
    <s v="Carousel"/>
    <n v="4523"/>
    <n v="61"/>
    <n v="157"/>
    <n v="49753"/>
    <n v="71"/>
    <s v="#ThirstyForMore"/>
    <n v="4741"/>
    <n v="10.494199535962878"/>
  </r>
  <r>
    <s v="P186"/>
    <x v="3"/>
    <s v="Carousel"/>
    <n v="4292"/>
    <n v="51"/>
    <n v="392"/>
    <n v="55796"/>
    <n v="264"/>
    <s v="#ThirstyForMore"/>
    <n v="4735"/>
    <n v="11.783738120380148"/>
  </r>
  <r>
    <s v="P187"/>
    <x v="0"/>
    <s v="Reel"/>
    <n v="1644"/>
    <n v="546"/>
    <n v="150"/>
    <n v="27948"/>
    <n v="300"/>
    <s v="#ThirstyForMore"/>
    <n v="2340"/>
    <n v="11.943589743589744"/>
  </r>
  <r>
    <s v="P188"/>
    <x v="1"/>
    <s v="Reel"/>
    <n v="2728"/>
    <n v="533"/>
    <n v="215"/>
    <n v="40920"/>
    <n v="137"/>
    <s v="#LiveForNow"/>
    <n v="3476"/>
    <n v="11.772151898734178"/>
  </r>
  <r>
    <s v="P189"/>
    <x v="3"/>
    <s v="Reel"/>
    <n v="3360"/>
    <n v="525"/>
    <n v="500"/>
    <n v="60480"/>
    <n v="192"/>
    <s v="#PepsiCoRefresh"/>
    <n v="4385"/>
    <n v="13.792474344355758"/>
  </r>
  <r>
    <s v="P190"/>
    <x v="1"/>
    <s v="Text"/>
    <n v="1963"/>
    <n v="213"/>
    <n v="19"/>
    <n v="39260"/>
    <n v="145"/>
    <s v="#LiveForNow"/>
    <n v="2195"/>
    <n v="17.886104783599087"/>
  </r>
  <r>
    <s v="P191"/>
    <x v="1"/>
    <s v="Story"/>
    <n v="4285"/>
    <n v="886"/>
    <n v="376"/>
    <n v="55705"/>
    <n v="51"/>
    <s v="#LiveForNow"/>
    <n v="5547"/>
    <n v="10.042365242473409"/>
  </r>
  <r>
    <s v="P192"/>
    <x v="2"/>
    <s v="Video"/>
    <n v="1176"/>
    <n v="464"/>
    <n v="394"/>
    <n v="14112"/>
    <n v="272"/>
    <s v="#ThirstyForMore"/>
    <n v="2034"/>
    <n v="6.9380530973451329"/>
  </r>
  <r>
    <s v="P193"/>
    <x v="0"/>
    <s v="Image"/>
    <n v="4858"/>
    <n v="317"/>
    <n v="129"/>
    <n v="53438"/>
    <n v="223"/>
    <s v="#ThirstyForMore"/>
    <n v="5304"/>
    <n v="10.075037707390649"/>
  </r>
  <r>
    <s v="P194"/>
    <x v="1"/>
    <s v="Story"/>
    <n v="4350"/>
    <n v="771"/>
    <n v="7"/>
    <n v="60900"/>
    <n v="195"/>
    <s v="#ThirstyForMore"/>
    <n v="5128"/>
    <n v="11.87597503900156"/>
  </r>
  <r>
    <s v="P195"/>
    <x v="2"/>
    <s v="Carousel"/>
    <n v="914"/>
    <n v="464"/>
    <n v="246"/>
    <n v="11882"/>
    <n v="282"/>
    <s v="#LiveForNow,#PepsiCoRefresh,#AnytimeIsPepsiTime"/>
    <n v="1624"/>
    <n v="7.3165024630541868"/>
  </r>
  <r>
    <s v="P196"/>
    <x v="2"/>
    <s v="Text"/>
    <n v="1813"/>
    <n v="623"/>
    <n v="72"/>
    <n v="19943"/>
    <n v="85"/>
    <s v="#ThirstyForMore"/>
    <n v="2508"/>
    <n v="7.9517543859649127"/>
  </r>
  <r>
    <s v="P197"/>
    <x v="0"/>
    <s v="Reel"/>
    <n v="4782"/>
    <n v="721"/>
    <n v="82"/>
    <n v="86076"/>
    <n v="19"/>
    <s v="#ThirstyForMore"/>
    <n v="5585"/>
    <n v="15.41199641897941"/>
  </r>
  <r>
    <s v="P198"/>
    <x v="0"/>
    <s v="Image"/>
    <n v="1048"/>
    <n v="374"/>
    <n v="450"/>
    <n v="9432"/>
    <n v="158"/>
    <s v="#PepsiCoRefresh"/>
    <n v="1872"/>
    <n v="5.0384615384615383"/>
  </r>
  <r>
    <s v="P199"/>
    <x v="1"/>
    <s v="Carousel"/>
    <n v="2509"/>
    <n v="324"/>
    <n v="171"/>
    <n v="35126"/>
    <n v="277"/>
    <s v="#PepsiCoRefresh"/>
    <n v="3004"/>
    <n v="11.693075898801597"/>
  </r>
  <r>
    <s v="P200"/>
    <x v="3"/>
    <s v="Reel"/>
    <n v="3718"/>
    <n v="385"/>
    <n v="310"/>
    <n v="70642"/>
    <n v="233"/>
    <s v="#PepsiCoRefresh"/>
    <n v="4413"/>
    <n v="16.007704509404032"/>
  </r>
  <r>
    <s v="P201"/>
    <x v="0"/>
    <s v="Reel"/>
    <n v="802"/>
    <n v="262"/>
    <n v="244"/>
    <n v="14436"/>
    <n v="49"/>
    <s v="#ThirstyForMore"/>
    <n v="1308"/>
    <n v="11.036697247706423"/>
  </r>
  <r>
    <s v="P202"/>
    <x v="3"/>
    <s v="Image"/>
    <n v="1871"/>
    <n v="252"/>
    <n v="335"/>
    <n v="29936"/>
    <n v="288"/>
    <s v="#ThirstyForMore"/>
    <n v="2458"/>
    <n v="12.179007323026852"/>
  </r>
  <r>
    <s v="P203"/>
    <x v="2"/>
    <s v="Carousel"/>
    <n v="3773"/>
    <n v="299"/>
    <n v="38"/>
    <n v="71687"/>
    <n v="286"/>
    <s v="#LiveForNow"/>
    <n v="4110"/>
    <n v="17.442092457420923"/>
  </r>
  <r>
    <s v="P204"/>
    <x v="2"/>
    <s v="Carousel"/>
    <n v="2234"/>
    <n v="653"/>
    <n v="432"/>
    <n v="11170"/>
    <n v="198"/>
    <s v="#LiveForNow"/>
    <n v="3319"/>
    <n v="3.3654715275685447"/>
  </r>
  <r>
    <s v="P205"/>
    <x v="0"/>
    <s v="Video"/>
    <n v="3820"/>
    <n v="697"/>
    <n v="268"/>
    <n v="45840"/>
    <n v="171"/>
    <s v="#PepsiCoRefresh,#SmoothLikeNitroPepsi"/>
    <n v="4785"/>
    <n v="9.5799373040752354"/>
  </r>
  <r>
    <s v="P206"/>
    <x v="0"/>
    <s v="Text"/>
    <n v="941"/>
    <n v="121"/>
    <n v="458"/>
    <n v="14115"/>
    <n v="87"/>
    <s v="#ThirstyForMore"/>
    <n v="1520"/>
    <n v="9.286184210526315"/>
  </r>
  <r>
    <s v="P207"/>
    <x v="0"/>
    <s v="Carousel"/>
    <n v="4274"/>
    <n v="340"/>
    <n v="281"/>
    <n v="34192"/>
    <n v="129"/>
    <s v="#PepsiCoRefresh,#SmoothLikeNitroPepsi"/>
    <n v="4895"/>
    <n v="6.9850868232890706"/>
  </r>
  <r>
    <s v="P208"/>
    <x v="1"/>
    <s v="Video"/>
    <n v="2949"/>
    <n v="476"/>
    <n v="403"/>
    <n v="44235"/>
    <n v="135"/>
    <s v="#PepsiCoRefresh"/>
    <n v="3828"/>
    <n v="11.555642633228841"/>
  </r>
  <r>
    <s v="P209"/>
    <x v="0"/>
    <s v="Video"/>
    <n v="3160"/>
    <n v="204"/>
    <n v="297"/>
    <n v="44240"/>
    <n v="49"/>
    <s v="#LiveForNow,#AnytimeIsPepsiTime"/>
    <n v="3661"/>
    <n v="12.084130019120458"/>
  </r>
  <r>
    <s v="P210"/>
    <x v="1"/>
    <s v="Image"/>
    <n v="257"/>
    <n v="966"/>
    <n v="398"/>
    <n v="3341"/>
    <n v="287"/>
    <s v="#LiveForNow"/>
    <n v="1621"/>
    <n v="2.0610734114743985"/>
  </r>
  <r>
    <s v="P211"/>
    <x v="0"/>
    <s v="Carousel"/>
    <n v="2120"/>
    <n v="38"/>
    <n v="212"/>
    <n v="12720"/>
    <n v="21"/>
    <s v="#LiveForNow"/>
    <n v="2370"/>
    <n v="5.3670886075949369"/>
  </r>
  <r>
    <s v="P212"/>
    <x v="1"/>
    <s v="Video"/>
    <n v="3874"/>
    <n v="884"/>
    <n v="19"/>
    <n v="38740"/>
    <n v="219"/>
    <s v="#PepsiCoRefresh"/>
    <n v="4777"/>
    <n v="8.109692275486708"/>
  </r>
  <r>
    <s v="P213"/>
    <x v="3"/>
    <s v="Carousel"/>
    <n v="2696"/>
    <n v="628"/>
    <n v="443"/>
    <n v="45832"/>
    <n v="248"/>
    <s v="#ThirstyForMore"/>
    <n v="3767"/>
    <n v="12.166710910538891"/>
  </r>
  <r>
    <s v="P214"/>
    <x v="2"/>
    <s v="Image"/>
    <n v="521"/>
    <n v="746"/>
    <n v="315"/>
    <n v="4168"/>
    <n v="282"/>
    <s v="#LiveForNow"/>
    <n v="1582"/>
    <n v="2.634639696586599"/>
  </r>
  <r>
    <s v="P215"/>
    <x v="3"/>
    <s v="Image"/>
    <n v="4872"/>
    <n v="925"/>
    <n v="176"/>
    <n v="82824"/>
    <n v="89"/>
    <s v="#ThirstyForMore"/>
    <n v="5973"/>
    <n v="13.86639879457559"/>
  </r>
  <r>
    <s v="P216"/>
    <x v="1"/>
    <s v="Story"/>
    <n v="1509"/>
    <n v="88"/>
    <n v="163"/>
    <n v="30180"/>
    <n v="119"/>
    <s v="#ThirstyForMore"/>
    <n v="1760"/>
    <n v="17.147727272727273"/>
  </r>
  <r>
    <s v="P217"/>
    <x v="3"/>
    <s v="Image"/>
    <n v="4606"/>
    <n v="931"/>
    <n v="230"/>
    <n v="92120"/>
    <n v="56"/>
    <s v="#PepsiCoRefresh"/>
    <n v="5767"/>
    <n v="15.973643142014913"/>
  </r>
  <r>
    <s v="P218"/>
    <x v="3"/>
    <s v="Carousel"/>
    <n v="1869"/>
    <n v="453"/>
    <n v="490"/>
    <n v="14952"/>
    <n v="275"/>
    <s v="#PepsiCoRefresh"/>
    <n v="2812"/>
    <n v="5.317211948790896"/>
  </r>
  <r>
    <s v="P219"/>
    <x v="0"/>
    <s v="Reel"/>
    <n v="1188"/>
    <n v="470"/>
    <n v="174"/>
    <n v="7128"/>
    <n v="270"/>
    <s v="#PepsiCoRefresh"/>
    <n v="1832"/>
    <n v="3.890829694323144"/>
  </r>
  <r>
    <s v="P220"/>
    <x v="2"/>
    <s v="Story"/>
    <n v="84"/>
    <n v="897"/>
    <n v="85"/>
    <n v="588"/>
    <n v="12"/>
    <s v="#ThirstyForMore"/>
    <n v="1066"/>
    <n v="0.55159474671669795"/>
  </r>
  <r>
    <s v="P221"/>
    <x v="3"/>
    <s v="Video"/>
    <n v="4453"/>
    <n v="111"/>
    <n v="420"/>
    <n v="31171"/>
    <n v="23"/>
    <s v="#PepsiCoRefresh"/>
    <n v="4984"/>
    <n v="6.2542134831460672"/>
  </r>
  <r>
    <s v="P222"/>
    <x v="3"/>
    <s v="Reel"/>
    <n v="1814"/>
    <n v="653"/>
    <n v="363"/>
    <n v="25396"/>
    <n v="39"/>
    <s v="#LiveForNow,#SmoothLikeNitroPepsi"/>
    <n v="2830"/>
    <n v="8.9738515901060065"/>
  </r>
  <r>
    <s v="P223"/>
    <x v="0"/>
    <s v="Image"/>
    <n v="3338"/>
    <n v="277"/>
    <n v="118"/>
    <n v="60084"/>
    <n v="252"/>
    <s v="#PepsiCoRefresh"/>
    <n v="3733"/>
    <n v="16.095365657648003"/>
  </r>
  <r>
    <s v="P224"/>
    <x v="3"/>
    <s v="Image"/>
    <n v="602"/>
    <n v="594"/>
    <n v="156"/>
    <n v="4214"/>
    <n v="164"/>
    <s v="#PepsiCoRefresh"/>
    <n v="1352"/>
    <n v="3.1168639053254439"/>
  </r>
  <r>
    <s v="P225"/>
    <x v="0"/>
    <s v="Carousel"/>
    <n v="4672"/>
    <n v="325"/>
    <n v="32"/>
    <n v="88768"/>
    <n v="118"/>
    <s v="#ThirstyForMore"/>
    <n v="5029"/>
    <n v="17.651222907138596"/>
  </r>
  <r>
    <s v="P226"/>
    <x v="2"/>
    <s v="Carousel"/>
    <n v="1741"/>
    <n v="164"/>
    <n v="318"/>
    <n v="8705"/>
    <n v="121"/>
    <s v="#PepsiCoRefresh"/>
    <n v="2223"/>
    <n v="3.9158794421952319"/>
  </r>
  <r>
    <s v="P227"/>
    <x v="2"/>
    <s v="Text"/>
    <n v="246"/>
    <n v="149"/>
    <n v="130"/>
    <n v="4674"/>
    <n v="217"/>
    <s v="#LiveForNow"/>
    <n v="525"/>
    <n v="8.9028571428571421"/>
  </r>
  <r>
    <s v="P228"/>
    <x v="2"/>
    <s v="Story"/>
    <n v="4808"/>
    <n v="772"/>
    <n v="320"/>
    <n v="72120"/>
    <n v="195"/>
    <s v="#ThirstyForMore"/>
    <n v="5900"/>
    <n v="12.223728813559323"/>
  </r>
  <r>
    <s v="P229"/>
    <x v="2"/>
    <s v="Carousel"/>
    <n v="4799"/>
    <n v="694"/>
    <n v="289"/>
    <n v="43191"/>
    <n v="118"/>
    <s v="#PepsiCoRefresh"/>
    <n v="5782"/>
    <n v="7.4699066067104809"/>
  </r>
  <r>
    <s v="P230"/>
    <x v="3"/>
    <s v="Reel"/>
    <n v="3663"/>
    <n v="17"/>
    <n v="295"/>
    <n v="51282"/>
    <n v="84"/>
    <s v="#ThirstyForMore"/>
    <n v="3975"/>
    <n v="12.901132075471699"/>
  </r>
  <r>
    <s v="P231"/>
    <x v="2"/>
    <s v="Text"/>
    <n v="1430"/>
    <n v="376"/>
    <n v="33"/>
    <n v="21450"/>
    <n v="251"/>
    <s v="#LiveForNow"/>
    <n v="1839"/>
    <n v="11.663947797716149"/>
  </r>
  <r>
    <s v="P232"/>
    <x v="0"/>
    <s v="Story"/>
    <n v="249"/>
    <n v="592"/>
    <n v="230"/>
    <n v="1494"/>
    <n v="201"/>
    <s v="#ThirstyForMore"/>
    <n v="1071"/>
    <n v="1.3949579831932772"/>
  </r>
  <r>
    <s v="P233"/>
    <x v="3"/>
    <s v="Image"/>
    <n v="2382"/>
    <n v="265"/>
    <n v="134"/>
    <n v="38112"/>
    <n v="249"/>
    <s v="#LiveForNow"/>
    <n v="2781"/>
    <n v="13.704422869471413"/>
  </r>
  <r>
    <s v="P234"/>
    <x v="3"/>
    <s v="Text"/>
    <n v="1272"/>
    <n v="465"/>
    <n v="99"/>
    <n v="24168"/>
    <n v="42"/>
    <s v="#PepsiCoRefresh"/>
    <n v="1836"/>
    <n v="13.163398692810457"/>
  </r>
  <r>
    <s v="P235"/>
    <x v="3"/>
    <s v="Image"/>
    <n v="3196"/>
    <n v="941"/>
    <n v="376"/>
    <n v="35156"/>
    <n v="241"/>
    <s v="#PepsiCoRefresh"/>
    <n v="4513"/>
    <n v="7.7899401728340347"/>
  </r>
  <r>
    <s v="P236"/>
    <x v="3"/>
    <s v="Text"/>
    <n v="1257"/>
    <n v="19"/>
    <n v="351"/>
    <n v="12570"/>
    <n v="194"/>
    <s v="#LiveForNow,#AnytimeIsPepsiTime,#ThirstyForMore"/>
    <n v="1627"/>
    <n v="7.7258758451137064"/>
  </r>
  <r>
    <s v="P237"/>
    <x v="2"/>
    <s v="Story"/>
    <n v="3770"/>
    <n v="917"/>
    <n v="129"/>
    <n v="71630"/>
    <n v="76"/>
    <s v="#LiveForNow"/>
    <n v="4816"/>
    <n v="14.873338870431894"/>
  </r>
  <r>
    <s v="P238"/>
    <x v="0"/>
    <s v="Text"/>
    <n v="4725"/>
    <n v="400"/>
    <n v="362"/>
    <n v="75600"/>
    <n v="43"/>
    <s v="#LiveForNow"/>
    <n v="5487"/>
    <n v="13.778020776380536"/>
  </r>
  <r>
    <s v="P239"/>
    <x v="1"/>
    <s v="Text"/>
    <n v="4188"/>
    <n v="942"/>
    <n v="118"/>
    <n v="20940"/>
    <n v="102"/>
    <s v="#LiveForNow"/>
    <n v="5248"/>
    <n v="3.9900914634146343"/>
  </r>
  <r>
    <s v="P240"/>
    <x v="0"/>
    <s v="Carousel"/>
    <n v="929"/>
    <n v="192"/>
    <n v="322"/>
    <n v="16722"/>
    <n v="145"/>
    <s v="#ThirstyForMore,#PepsiCoRefresh,#AnytimeIsPepsiTime"/>
    <n v="1443"/>
    <n v="11.588357588357589"/>
  </r>
  <r>
    <s v="P241"/>
    <x v="3"/>
    <s v="Story"/>
    <n v="4321"/>
    <n v="874"/>
    <n v="172"/>
    <n v="30247"/>
    <n v="122"/>
    <s v="#PepsiCoRefresh"/>
    <n v="5367"/>
    <n v="5.635736910750885"/>
  </r>
  <r>
    <s v="P242"/>
    <x v="3"/>
    <s v="Reel"/>
    <n v="4767"/>
    <n v="190"/>
    <n v="340"/>
    <n v="28602"/>
    <n v="210"/>
    <s v="#ThirstyForMore"/>
    <n v="5297"/>
    <n v="5.3996601850103829"/>
  </r>
  <r>
    <s v="P243"/>
    <x v="0"/>
    <s v="Image"/>
    <n v="3592"/>
    <n v="911"/>
    <n v="375"/>
    <n v="50288"/>
    <n v="32"/>
    <s v="#LiveForNow"/>
    <n v="4878"/>
    <n v="10.309143091430915"/>
  </r>
  <r>
    <s v="P244"/>
    <x v="1"/>
    <s v="Video"/>
    <n v="4661"/>
    <n v="935"/>
    <n v="433"/>
    <n v="23305"/>
    <n v="63"/>
    <s v="#LiveForNow"/>
    <n v="6029"/>
    <n v="3.8654834964339027"/>
  </r>
  <r>
    <s v="P245"/>
    <x v="3"/>
    <s v="Reel"/>
    <n v="4134"/>
    <n v="824"/>
    <n v="99"/>
    <n v="41340"/>
    <n v="177"/>
    <s v="#ThirstyForMore"/>
    <n v="5057"/>
    <n v="8.1748071979434442"/>
  </r>
  <r>
    <s v="P246"/>
    <x v="3"/>
    <s v="Image"/>
    <n v="400"/>
    <n v="680"/>
    <n v="434"/>
    <n v="6400"/>
    <n v="160"/>
    <s v="#LiveForNow"/>
    <n v="1514"/>
    <n v="4.2272126816380453"/>
  </r>
  <r>
    <s v="P247"/>
    <x v="3"/>
    <s v="Reel"/>
    <n v="3960"/>
    <n v="266"/>
    <n v="8"/>
    <n v="35640"/>
    <n v="208"/>
    <s v="#LiveForNow,#ThirstyForMore,#BetterWithPepsi"/>
    <n v="4234"/>
    <n v="8.4175720358998589"/>
  </r>
  <r>
    <s v="P248"/>
    <x v="3"/>
    <s v="Story"/>
    <n v="886"/>
    <n v="126"/>
    <n v="153"/>
    <n v="4430"/>
    <n v="212"/>
    <s v="#ThirstyForMore"/>
    <n v="1165"/>
    <n v="3.8025751072961373"/>
  </r>
  <r>
    <s v="P249"/>
    <x v="0"/>
    <s v="Image"/>
    <n v="827"/>
    <n v="77"/>
    <n v="402"/>
    <n v="14886"/>
    <n v="254"/>
    <s v="#ThirstyForMore"/>
    <n v="1306"/>
    <n v="11.398162327718223"/>
  </r>
  <r>
    <s v="P250"/>
    <x v="3"/>
    <s v="Reel"/>
    <n v="3813"/>
    <n v="935"/>
    <n v="274"/>
    <n v="68634"/>
    <n v="251"/>
    <s v="#LiveForNow"/>
    <n v="5022"/>
    <n v="13.666666666666666"/>
  </r>
  <r>
    <s v="P251"/>
    <x v="2"/>
    <s v="Carousel"/>
    <n v="1377"/>
    <n v="796"/>
    <n v="387"/>
    <n v="22032"/>
    <n v="189"/>
    <s v="#LiveForNow"/>
    <n v="2560"/>
    <n v="8.6062499999999993"/>
  </r>
  <r>
    <s v="P252"/>
    <x v="3"/>
    <s v="Carousel"/>
    <n v="2089"/>
    <n v="476"/>
    <n v="69"/>
    <n v="16712"/>
    <n v="64"/>
    <s v="#LiveForNow"/>
    <n v="2634"/>
    <n v="6.3447228549734245"/>
  </r>
  <r>
    <s v="P253"/>
    <x v="0"/>
    <s v="Reel"/>
    <n v="3791"/>
    <n v="593"/>
    <n v="228"/>
    <n v="53074"/>
    <n v="205"/>
    <s v="#ThirstyForMore"/>
    <n v="4612"/>
    <n v="11.507805724197745"/>
  </r>
  <r>
    <s v="P254"/>
    <x v="0"/>
    <s v="Image"/>
    <n v="2692"/>
    <n v="115"/>
    <n v="64"/>
    <n v="21536"/>
    <n v="224"/>
    <s v="#LiveForNow"/>
    <n v="2871"/>
    <n v="7.5012190874259836"/>
  </r>
  <r>
    <s v="P255"/>
    <x v="3"/>
    <s v="Story"/>
    <n v="3767"/>
    <n v="514"/>
    <n v="238"/>
    <n v="37670"/>
    <n v="226"/>
    <s v="#LiveForNow"/>
    <n v="4519"/>
    <n v="8.3359150254481076"/>
  </r>
  <r>
    <s v="P256"/>
    <x v="1"/>
    <s v="Carousel"/>
    <n v="2143"/>
    <n v="12"/>
    <n v="204"/>
    <n v="40717"/>
    <n v="248"/>
    <s v="#ThirstyForMore"/>
    <n v="2359"/>
    <n v="17.260279779567615"/>
  </r>
  <r>
    <s v="P257"/>
    <x v="3"/>
    <s v="Image"/>
    <n v="3090"/>
    <n v="697"/>
    <n v="164"/>
    <n v="49440"/>
    <n v="25"/>
    <s v="#ThirstyForMore,#ThirstyForMore,#BetterWithPepsi"/>
    <n v="3951"/>
    <n v="12.513287775246773"/>
  </r>
  <r>
    <s v="P258"/>
    <x v="2"/>
    <s v="Story"/>
    <n v="3601"/>
    <n v="695"/>
    <n v="75"/>
    <n v="21606"/>
    <n v="172"/>
    <s v="#ThirstyForMore"/>
    <n v="4371"/>
    <n v="4.9430336307481122"/>
  </r>
  <r>
    <s v="P259"/>
    <x v="3"/>
    <s v="Text"/>
    <n v="562"/>
    <n v="158"/>
    <n v="149"/>
    <n v="3372"/>
    <n v="93"/>
    <s v="#PepsiCoRefresh"/>
    <n v="869"/>
    <n v="3.8803222094361334"/>
  </r>
  <r>
    <s v="P260"/>
    <x v="2"/>
    <s v="Story"/>
    <n v="4332"/>
    <n v="771"/>
    <n v="219"/>
    <n v="60648"/>
    <n v="10"/>
    <s v="#PepsiCoRefresh,#ThirstyForMore,#BetterWithPepsi"/>
    <n v="5322"/>
    <n v="11.395715896279594"/>
  </r>
  <r>
    <s v="P261"/>
    <x v="2"/>
    <s v="Image"/>
    <n v="4853"/>
    <n v="837"/>
    <n v="340"/>
    <n v="72795"/>
    <n v="170"/>
    <s v="#ThirstyForMore"/>
    <n v="6030"/>
    <n v="12.072139303482587"/>
  </r>
  <r>
    <s v="P262"/>
    <x v="1"/>
    <s v="Image"/>
    <n v="1206"/>
    <n v="238"/>
    <n v="36"/>
    <n v="9648"/>
    <n v="237"/>
    <s v="#PepsiCoRefresh"/>
    <n v="1480"/>
    <n v="6.5189189189189189"/>
  </r>
  <r>
    <s v="P263"/>
    <x v="2"/>
    <s v="Reel"/>
    <n v="2603"/>
    <n v="690"/>
    <n v="205"/>
    <n v="13015"/>
    <n v="20"/>
    <s v="#LiveForNow"/>
    <n v="3498"/>
    <n v="3.7206975414522585"/>
  </r>
  <r>
    <s v="P264"/>
    <x v="0"/>
    <s v="Image"/>
    <n v="59"/>
    <n v="163"/>
    <n v="93"/>
    <n v="590"/>
    <n v="293"/>
    <s v="#PepsiCoRefresh"/>
    <n v="315"/>
    <n v="1.873015873015873"/>
  </r>
  <r>
    <s v="P265"/>
    <x v="0"/>
    <s v="Carousel"/>
    <n v="1877"/>
    <n v="745"/>
    <n v="225"/>
    <n v="11262"/>
    <n v="41"/>
    <s v="#ThirstyForMore"/>
    <n v="2847"/>
    <n v="3.9557428872497367"/>
  </r>
  <r>
    <s v="P266"/>
    <x v="3"/>
    <s v="Story"/>
    <n v="4182"/>
    <n v="640"/>
    <n v="240"/>
    <n v="50184"/>
    <n v="10"/>
    <s v="#PepsiCoRefresh"/>
    <n v="5062"/>
    <n v="9.9138680363492693"/>
  </r>
  <r>
    <s v="P267"/>
    <x v="0"/>
    <s v="Reel"/>
    <n v="4187"/>
    <n v="66"/>
    <n v="31"/>
    <n v="66992"/>
    <n v="62"/>
    <s v="#LiveForNow"/>
    <n v="4284"/>
    <n v="15.637721755368814"/>
  </r>
  <r>
    <s v="P268"/>
    <x v="2"/>
    <s v="Reel"/>
    <n v="4579"/>
    <n v="125"/>
    <n v="300"/>
    <n v="59527"/>
    <n v="269"/>
    <s v="#ThirstyForMore"/>
    <n v="5004"/>
    <n v="11.895883293365308"/>
  </r>
  <r>
    <s v="P269"/>
    <x v="2"/>
    <s v="Video"/>
    <n v="4561"/>
    <n v="51"/>
    <n v="441"/>
    <n v="22805"/>
    <n v="45"/>
    <s v="#PepsiCoRefresh"/>
    <n v="5053"/>
    <n v="4.5131604987136358"/>
  </r>
  <r>
    <s v="P270"/>
    <x v="1"/>
    <s v="Reel"/>
    <n v="3774"/>
    <n v="239"/>
    <n v="39"/>
    <n v="60384"/>
    <n v="241"/>
    <s v="#PepsiCoRefresh"/>
    <n v="4052"/>
    <n v="14.902270483711748"/>
  </r>
  <r>
    <s v="P271"/>
    <x v="2"/>
    <s v="Video"/>
    <n v="3575"/>
    <n v="749"/>
    <n v="111"/>
    <n v="21450"/>
    <n v="195"/>
    <s v="#ThirstyForMore"/>
    <n v="4435"/>
    <n v="4.8365276211950397"/>
  </r>
  <r>
    <s v="P272"/>
    <x v="2"/>
    <s v="Text"/>
    <n v="4941"/>
    <n v="414"/>
    <n v="266"/>
    <n v="39528"/>
    <n v="217"/>
    <s v="#PepsiCoRefresh"/>
    <n v="5621"/>
    <n v="7.0322006760362923"/>
  </r>
  <r>
    <s v="P273"/>
    <x v="1"/>
    <s v="Story"/>
    <n v="3641"/>
    <n v="226"/>
    <n v="46"/>
    <n v="40051"/>
    <n v="296"/>
    <s v="#ThirstyForMore"/>
    <n v="3913"/>
    <n v="10.23536928188091"/>
  </r>
  <r>
    <s v="P274"/>
    <x v="0"/>
    <s v="Carousel"/>
    <n v="3535"/>
    <n v="494"/>
    <n v="152"/>
    <n v="53025"/>
    <n v="44"/>
    <s v="#PepsiCoRefresh"/>
    <n v="4181"/>
    <n v="12.68237263812485"/>
  </r>
  <r>
    <s v="P275"/>
    <x v="3"/>
    <s v="Reel"/>
    <n v="1741"/>
    <n v="831"/>
    <n v="345"/>
    <n v="17410"/>
    <n v="58"/>
    <s v="#ThirstyForMore"/>
    <n v="2917"/>
    <n v="5.968460747343161"/>
  </r>
  <r>
    <s v="P276"/>
    <x v="0"/>
    <s v="Carousel"/>
    <n v="1556"/>
    <n v="195"/>
    <n v="131"/>
    <n v="9336"/>
    <n v="137"/>
    <s v="#PepsiCoRefresh"/>
    <n v="1882"/>
    <n v="4.9606801275239105"/>
  </r>
  <r>
    <s v="P277"/>
    <x v="3"/>
    <s v="Image"/>
    <n v="4236"/>
    <n v="711"/>
    <n v="298"/>
    <n v="21180"/>
    <n v="238"/>
    <s v="#LiveForNow"/>
    <n v="5245"/>
    <n v="4.0381315538608202"/>
  </r>
  <r>
    <s v="P278"/>
    <x v="0"/>
    <s v="Text"/>
    <n v="4516"/>
    <n v="836"/>
    <n v="169"/>
    <n v="49676"/>
    <n v="282"/>
    <s v="#ThirstyForMore"/>
    <n v="5521"/>
    <n v="8.9976453541025183"/>
  </r>
  <r>
    <s v="P279"/>
    <x v="1"/>
    <s v="Image"/>
    <n v="4905"/>
    <n v="845"/>
    <n v="129"/>
    <n v="98100"/>
    <n v="279"/>
    <s v="#PepsiCoRefresh"/>
    <n v="5879"/>
    <n v="16.686511311447525"/>
  </r>
  <r>
    <s v="P280"/>
    <x v="1"/>
    <s v="Video"/>
    <n v="4275"/>
    <n v="680"/>
    <n v="385"/>
    <n v="64125"/>
    <n v="104"/>
    <s v="#ThirstyForMore,#PepsiCoRefresh,#AnytimeIsPepsiTime"/>
    <n v="5340"/>
    <n v="12.008426966292134"/>
  </r>
  <r>
    <s v="P281"/>
    <x v="1"/>
    <s v="Image"/>
    <n v="3166"/>
    <n v="90"/>
    <n v="341"/>
    <n v="56988"/>
    <n v="135"/>
    <s v="#ThirstyForMore"/>
    <n v="3597"/>
    <n v="15.843202668890742"/>
  </r>
  <r>
    <s v="P282"/>
    <x v="2"/>
    <s v="Video"/>
    <n v="1488"/>
    <n v="417"/>
    <n v="168"/>
    <n v="19344"/>
    <n v="30"/>
    <s v="#LiveForNow"/>
    <n v="2073"/>
    <n v="9.3314037626628075"/>
  </r>
  <r>
    <s v="P283"/>
    <x v="0"/>
    <s v="Reel"/>
    <n v="3367"/>
    <n v="302"/>
    <n v="57"/>
    <n v="63973"/>
    <n v="157"/>
    <s v="#LiveForNow"/>
    <n v="3726"/>
    <n v="17.169350509930219"/>
  </r>
  <r>
    <s v="P284"/>
    <x v="0"/>
    <s v="Text"/>
    <n v="571"/>
    <n v="190"/>
    <n v="352"/>
    <n v="9707"/>
    <n v="231"/>
    <s v="#PepsiCoRefresh"/>
    <n v="1113"/>
    <n v="8.721473495058401"/>
  </r>
  <r>
    <s v="P285"/>
    <x v="1"/>
    <s v="Text"/>
    <n v="4021"/>
    <n v="794"/>
    <n v="77"/>
    <n v="36189"/>
    <n v="174"/>
    <s v="#ThirstyForMore"/>
    <n v="4892"/>
    <n v="7.3975878986099755"/>
  </r>
  <r>
    <s v="P286"/>
    <x v="1"/>
    <s v="Video"/>
    <n v="3389"/>
    <n v="344"/>
    <n v="229"/>
    <n v="20334"/>
    <n v="228"/>
    <s v="#LiveForNow"/>
    <n v="3962"/>
    <n v="5.1322564361433622"/>
  </r>
  <r>
    <s v="P287"/>
    <x v="2"/>
    <s v="Reel"/>
    <n v="1164"/>
    <n v="616"/>
    <n v="324"/>
    <n v="6984"/>
    <n v="82"/>
    <s v="#ThirstyForMore"/>
    <n v="2104"/>
    <n v="3.3193916349809887"/>
  </r>
  <r>
    <s v="P288"/>
    <x v="1"/>
    <s v="Carousel"/>
    <n v="4780"/>
    <n v="691"/>
    <n v="380"/>
    <n v="86040"/>
    <n v="262"/>
    <s v="#LiveForNow"/>
    <n v="5851"/>
    <n v="14.705178601948385"/>
  </r>
  <r>
    <s v="P289"/>
    <x v="3"/>
    <s v="Carousel"/>
    <n v="2751"/>
    <n v="33"/>
    <n v="430"/>
    <n v="44016"/>
    <n v="129"/>
    <s v="#LiveForNow"/>
    <n v="3214"/>
    <n v="13.695084007467331"/>
  </r>
  <r>
    <s v="P290"/>
    <x v="2"/>
    <s v="Carousel"/>
    <n v="2107"/>
    <n v="550"/>
    <n v="349"/>
    <n v="35819"/>
    <n v="191"/>
    <s v="#ThirstyForMore"/>
    <n v="3006"/>
    <n v="11.91583499667332"/>
  </r>
  <r>
    <s v="P291"/>
    <x v="3"/>
    <s v="Video"/>
    <n v="4663"/>
    <n v="145"/>
    <n v="225"/>
    <n v="69945"/>
    <n v="35"/>
    <s v="#ThirstyForMore"/>
    <n v="5033"/>
    <n v="13.897277965428174"/>
  </r>
  <r>
    <s v="P292"/>
    <x v="3"/>
    <s v="Text"/>
    <n v="880"/>
    <n v="297"/>
    <n v="345"/>
    <n v="12320"/>
    <n v="238"/>
    <s v="#PepsiCoRefresh,#AnytimeIsPepsiTime"/>
    <n v="1522"/>
    <n v="8.0946123521682001"/>
  </r>
  <r>
    <s v="P293"/>
    <x v="3"/>
    <s v="Text"/>
    <n v="2634"/>
    <n v="726"/>
    <n v="241"/>
    <n v="28974"/>
    <n v="277"/>
    <s v="#ThirstyForMore"/>
    <n v="3601"/>
    <n v="8.0460983060261047"/>
  </r>
  <r>
    <s v="P294"/>
    <x v="3"/>
    <s v="Carousel"/>
    <n v="4731"/>
    <n v="173"/>
    <n v="276"/>
    <n v="28386"/>
    <n v="89"/>
    <s v="#ThirstyForMore"/>
    <n v="5180"/>
    <n v="5.4799227799227799"/>
  </r>
  <r>
    <s v="P295"/>
    <x v="0"/>
    <s v="Image"/>
    <n v="1952"/>
    <n v="344"/>
    <n v="287"/>
    <n v="15616"/>
    <n v="235"/>
    <s v="#LiveForNow,#PepsiCoRefresh,#AnytimeIsPepsiTime"/>
    <n v="2583"/>
    <n v="6.0456833139759967"/>
  </r>
  <r>
    <s v="P296"/>
    <x v="0"/>
    <s v="Video"/>
    <n v="3440"/>
    <n v="13"/>
    <n v="20"/>
    <n v="58480"/>
    <n v="210"/>
    <s v="#PepsiCoRefresh,#SmoothLikeNitroPepsi"/>
    <n v="3473"/>
    <n v="16.838468183126981"/>
  </r>
  <r>
    <s v="P297"/>
    <x v="0"/>
    <s v="Text"/>
    <n v="2166"/>
    <n v="354"/>
    <n v="117"/>
    <n v="10830"/>
    <n v="24"/>
    <s v="#ThirstyForMore"/>
    <n v="2637"/>
    <n v="4.1069397042093287"/>
  </r>
  <r>
    <s v="P298"/>
    <x v="3"/>
    <s v="Image"/>
    <n v="4303"/>
    <n v="451"/>
    <n v="286"/>
    <n v="86060"/>
    <n v="14"/>
    <s v="#PepsiCoRefresh"/>
    <n v="5040"/>
    <n v="17.075396825396826"/>
  </r>
  <r>
    <s v="P299"/>
    <x v="3"/>
    <s v="Image"/>
    <n v="2581"/>
    <n v="517"/>
    <n v="117"/>
    <n v="23229"/>
    <n v="70"/>
    <s v="#LiveForNow"/>
    <n v="3215"/>
    <n v="7.2251944012441678"/>
  </r>
  <r>
    <s v="P300"/>
    <x v="0"/>
    <s v="Carousel"/>
    <n v="4494"/>
    <n v="717"/>
    <n v="45"/>
    <n v="62916"/>
    <n v="191"/>
    <s v="#PepsiCoRefresh,#ThirstyForMore,#BetterWithPepsi"/>
    <n v="5256"/>
    <n v="11.9703196347031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P063"/>
    <x v="0"/>
    <x v="0"/>
    <n v="4507"/>
    <n v="217"/>
    <n v="13"/>
    <n v="90140"/>
    <n v="125"/>
    <s v="#LiveForNow"/>
    <n v="4737"/>
    <n v="19.028921258180283"/>
  </r>
  <r>
    <s v="P176"/>
    <x v="1"/>
    <x v="1"/>
    <n v="3798"/>
    <n v="31"/>
    <n v="279"/>
    <n v="75960"/>
    <n v="266"/>
    <s v="#PepsiCoRefresh"/>
    <n v="4108"/>
    <n v="18.490749756572541"/>
  </r>
  <r>
    <s v="P003"/>
    <x v="2"/>
    <x v="2"/>
    <n v="2795"/>
    <n v="105"/>
    <n v="49"/>
    <n v="53105"/>
    <n v="204"/>
    <s v="#PepsiCoRefresh"/>
    <n v="2949"/>
    <n v="18.007799253984402"/>
  </r>
  <r>
    <s v="P190"/>
    <x v="2"/>
    <x v="3"/>
    <n v="1963"/>
    <n v="213"/>
    <n v="19"/>
    <n v="39260"/>
    <n v="145"/>
    <s v="#LiveForNow"/>
    <n v="2195"/>
    <n v="17.886104783599087"/>
  </r>
  <r>
    <s v="P145"/>
    <x v="3"/>
    <x v="0"/>
    <n v="1878"/>
    <n v="62"/>
    <n v="179"/>
    <n v="37560"/>
    <n v="142"/>
    <s v="#PepsiCoRefresh"/>
    <n v="2119"/>
    <n v="17.725342142520056"/>
  </r>
  <r>
    <s v="P225"/>
    <x v="0"/>
    <x v="0"/>
    <n v="4672"/>
    <n v="325"/>
    <n v="32"/>
    <n v="88768"/>
    <n v="118"/>
    <s v="#ThirstyForMore"/>
    <n v="5029"/>
    <n v="17.651222907138596"/>
  </r>
  <r>
    <s v="P203"/>
    <x v="3"/>
    <x v="0"/>
    <n v="3773"/>
    <n v="299"/>
    <n v="38"/>
    <n v="71687"/>
    <n v="286"/>
    <s v="#LiveForNow"/>
    <n v="4110"/>
    <n v="17.442092457420923"/>
  </r>
  <r>
    <s v="P030"/>
    <x v="3"/>
    <x v="1"/>
    <n v="3095"/>
    <n v="39"/>
    <n v="78"/>
    <n v="55710"/>
    <n v="93"/>
    <s v="#ThirstyForMore"/>
    <n v="3212"/>
    <n v="17.344333748443336"/>
  </r>
  <r>
    <s v="P256"/>
    <x v="2"/>
    <x v="0"/>
    <n v="2143"/>
    <n v="12"/>
    <n v="204"/>
    <n v="40717"/>
    <n v="248"/>
    <s v="#ThirstyForMore"/>
    <n v="2359"/>
    <n v="17.260279779567615"/>
  </r>
  <r>
    <s v="P283"/>
    <x v="0"/>
    <x v="2"/>
    <n v="3367"/>
    <n v="302"/>
    <n v="57"/>
    <n v="63973"/>
    <n v="157"/>
    <s v="#LiveForNow"/>
    <n v="3726"/>
    <n v="17.16935050993021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25"/>
    <x v="0"/>
  </r>
  <r>
    <n v="266"/>
    <x v="1"/>
  </r>
  <r>
    <n v="204"/>
    <x v="1"/>
  </r>
  <r>
    <n v="145"/>
    <x v="0"/>
  </r>
  <r>
    <n v="142"/>
    <x v="1"/>
  </r>
  <r>
    <n v="118"/>
    <x v="2"/>
  </r>
  <r>
    <n v="286"/>
    <x v="0"/>
  </r>
  <r>
    <n v="93"/>
    <x v="2"/>
  </r>
  <r>
    <n v="248"/>
    <x v="2"/>
  </r>
  <r>
    <n v="157"/>
    <x v="0"/>
  </r>
  <r>
    <n v="119"/>
    <x v="2"/>
  </r>
  <r>
    <n v="14"/>
    <x v="1"/>
  </r>
  <r>
    <n v="210"/>
    <x v="1"/>
  </r>
  <r>
    <n v="20"/>
    <x v="0"/>
  </r>
  <r>
    <n v="238"/>
    <x v="2"/>
  </r>
  <r>
    <n v="279"/>
    <x v="1"/>
  </r>
  <r>
    <n v="252"/>
    <x v="1"/>
  </r>
  <r>
    <n v="242"/>
    <x v="1"/>
  </r>
  <r>
    <n v="182"/>
    <x v="1"/>
  </r>
  <r>
    <n v="233"/>
    <x v="1"/>
  </r>
  <r>
    <n v="56"/>
    <x v="1"/>
  </r>
  <r>
    <n v="135"/>
    <x v="2"/>
  </r>
  <r>
    <n v="290"/>
    <x v="1"/>
  </r>
  <r>
    <n v="100"/>
    <x v="2"/>
  </r>
  <r>
    <n v="25"/>
    <x v="1"/>
  </r>
  <r>
    <n v="62"/>
    <x v="0"/>
  </r>
  <r>
    <n v="88"/>
    <x v="0"/>
  </r>
  <r>
    <n v="272"/>
    <x v="0"/>
  </r>
  <r>
    <n v="19"/>
    <x v="2"/>
  </r>
  <r>
    <n v="66"/>
    <x v="2"/>
  </r>
  <r>
    <n v="242"/>
    <x v="2"/>
  </r>
  <r>
    <n v="224"/>
    <x v="2"/>
  </r>
  <r>
    <n v="241"/>
    <x v="1"/>
  </r>
  <r>
    <n v="76"/>
    <x v="0"/>
  </r>
  <r>
    <n v="262"/>
    <x v="0"/>
  </r>
  <r>
    <n v="163"/>
    <x v="0"/>
  </r>
  <r>
    <n v="53"/>
    <x v="1"/>
  </r>
  <r>
    <n v="158"/>
    <x v="0"/>
  </r>
  <r>
    <n v="114"/>
    <x v="0"/>
  </r>
  <r>
    <n v="235"/>
    <x v="1"/>
  </r>
  <r>
    <n v="215"/>
    <x v="1"/>
  </r>
  <r>
    <n v="297"/>
    <x v="1"/>
  </r>
  <r>
    <n v="103"/>
    <x v="1"/>
  </r>
  <r>
    <n v="51"/>
    <x v="0"/>
  </r>
  <r>
    <n v="25"/>
    <x v="1"/>
  </r>
  <r>
    <n v="35"/>
    <x v="2"/>
  </r>
  <r>
    <n v="167"/>
    <x v="1"/>
  </r>
  <r>
    <n v="173"/>
    <x v="0"/>
  </r>
  <r>
    <n v="161"/>
    <x v="0"/>
  </r>
  <r>
    <n v="89"/>
    <x v="2"/>
  </r>
  <r>
    <n v="92"/>
    <x v="1"/>
  </r>
  <r>
    <n v="192"/>
    <x v="1"/>
  </r>
  <r>
    <n v="43"/>
    <x v="0"/>
  </r>
  <r>
    <n v="246"/>
    <x v="2"/>
  </r>
  <r>
    <n v="249"/>
    <x v="0"/>
  </r>
  <r>
    <n v="129"/>
    <x v="0"/>
  </r>
  <r>
    <n v="251"/>
    <x v="0"/>
  </r>
  <r>
    <n v="119"/>
    <x v="1"/>
  </r>
  <r>
    <n v="12"/>
    <x v="0"/>
  </r>
  <r>
    <n v="40"/>
    <x v="1"/>
  </r>
  <r>
    <n v="182"/>
    <x v="2"/>
  </r>
  <r>
    <n v="176"/>
    <x v="0"/>
  </r>
  <r>
    <n v="292"/>
    <x v="1"/>
  </r>
  <r>
    <n v="87"/>
    <x v="0"/>
  </r>
  <r>
    <n v="114"/>
    <x v="2"/>
  </r>
  <r>
    <n v="42"/>
    <x v="1"/>
  </r>
  <r>
    <n v="117"/>
    <x v="1"/>
  </r>
  <r>
    <n v="31"/>
    <x v="2"/>
  </r>
  <r>
    <n v="225"/>
    <x v="1"/>
  </r>
  <r>
    <n v="83"/>
    <x v="0"/>
  </r>
  <r>
    <n v="76"/>
    <x v="2"/>
  </r>
  <r>
    <n v="84"/>
    <x v="2"/>
  </r>
  <r>
    <n v="28"/>
    <x v="0"/>
  </r>
  <r>
    <n v="225"/>
    <x v="0"/>
  </r>
  <r>
    <n v="44"/>
    <x v="1"/>
  </r>
  <r>
    <n v="137"/>
    <x v="2"/>
  </r>
  <r>
    <n v="25"/>
    <x v="2"/>
  </r>
  <r>
    <n v="57"/>
    <x v="0"/>
  </r>
  <r>
    <n v="133"/>
    <x v="1"/>
  </r>
  <r>
    <n v="264"/>
    <x v="2"/>
  </r>
  <r>
    <n v="169"/>
    <x v="1"/>
  </r>
  <r>
    <n v="99"/>
    <x v="1"/>
  </r>
  <r>
    <n v="195"/>
    <x v="2"/>
  </r>
  <r>
    <n v="75"/>
    <x v="0"/>
  </r>
  <r>
    <n v="21"/>
    <x v="0"/>
  </r>
  <r>
    <n v="288"/>
    <x v="2"/>
  </r>
  <r>
    <n v="248"/>
    <x v="2"/>
  </r>
  <r>
    <n v="49"/>
    <x v="0"/>
  </r>
  <r>
    <n v="170"/>
    <x v="2"/>
  </r>
  <r>
    <n v="104"/>
    <x v="2"/>
  </r>
  <r>
    <n v="191"/>
    <x v="1"/>
  </r>
  <r>
    <n v="300"/>
    <x v="2"/>
  </r>
  <r>
    <n v="191"/>
    <x v="2"/>
  </r>
  <r>
    <n v="269"/>
    <x v="2"/>
  </r>
  <r>
    <n v="195"/>
    <x v="2"/>
  </r>
  <r>
    <n v="264"/>
    <x v="2"/>
  </r>
  <r>
    <n v="137"/>
    <x v="0"/>
  </r>
  <r>
    <n v="277"/>
    <x v="1"/>
  </r>
  <r>
    <n v="200"/>
    <x v="0"/>
  </r>
  <r>
    <n v="298"/>
    <x v="1"/>
  </r>
  <r>
    <n v="251"/>
    <x v="0"/>
  </r>
  <r>
    <n v="145"/>
    <x v="2"/>
  </r>
  <r>
    <n v="135"/>
    <x v="1"/>
  </r>
  <r>
    <n v="120"/>
    <x v="0"/>
  </r>
  <r>
    <n v="255"/>
    <x v="0"/>
  </r>
  <r>
    <n v="205"/>
    <x v="2"/>
  </r>
  <r>
    <n v="36"/>
    <x v="1"/>
  </r>
  <r>
    <n v="254"/>
    <x v="2"/>
  </r>
  <r>
    <n v="10"/>
    <x v="1"/>
  </r>
  <r>
    <n v="131"/>
    <x v="1"/>
  </r>
  <r>
    <n v="88"/>
    <x v="2"/>
  </r>
  <r>
    <n v="266"/>
    <x v="2"/>
  </r>
  <r>
    <n v="22"/>
    <x v="2"/>
  </r>
  <r>
    <n v="211"/>
    <x v="0"/>
  </r>
  <r>
    <n v="11"/>
    <x v="1"/>
  </r>
  <r>
    <n v="49"/>
    <x v="2"/>
  </r>
  <r>
    <n v="15"/>
    <x v="0"/>
  </r>
  <r>
    <n v="20"/>
    <x v="1"/>
  </r>
  <r>
    <n v="52"/>
    <x v="1"/>
  </r>
  <r>
    <n v="123"/>
    <x v="2"/>
  </r>
  <r>
    <n v="52"/>
    <x v="2"/>
  </r>
  <r>
    <n v="174"/>
    <x v="2"/>
  </r>
  <r>
    <n v="149"/>
    <x v="0"/>
  </r>
  <r>
    <n v="147"/>
    <x v="2"/>
  </r>
  <r>
    <n v="159"/>
    <x v="2"/>
  </r>
  <r>
    <n v="283"/>
    <x v="1"/>
  </r>
  <r>
    <n v="71"/>
    <x v="2"/>
  </r>
  <r>
    <n v="32"/>
    <x v="0"/>
  </r>
  <r>
    <n v="296"/>
    <x v="2"/>
  </r>
  <r>
    <n v="38"/>
    <x v="0"/>
  </r>
  <r>
    <n v="216"/>
    <x v="1"/>
  </r>
  <r>
    <n v="150"/>
    <x v="0"/>
  </r>
  <r>
    <n v="223"/>
    <x v="2"/>
  </r>
  <r>
    <n v="51"/>
    <x v="0"/>
  </r>
  <r>
    <n v="212"/>
    <x v="2"/>
  </r>
  <r>
    <n v="142"/>
    <x v="0"/>
  </r>
  <r>
    <n v="209"/>
    <x v="1"/>
  </r>
  <r>
    <n v="103"/>
    <x v="1"/>
  </r>
  <r>
    <n v="10"/>
    <x v="1"/>
  </r>
  <r>
    <n v="173"/>
    <x v="1"/>
  </r>
  <r>
    <n v="19"/>
    <x v="0"/>
  </r>
  <r>
    <n v="123"/>
    <x v="0"/>
  </r>
  <r>
    <n v="39"/>
    <x v="2"/>
  </r>
  <r>
    <n v="171"/>
    <x v="1"/>
  </r>
  <r>
    <n v="177"/>
    <x v="1"/>
  </r>
  <r>
    <n v="30"/>
    <x v="0"/>
  </r>
  <r>
    <n v="87"/>
    <x v="2"/>
  </r>
  <r>
    <n v="187"/>
    <x v="0"/>
  </r>
  <r>
    <n v="240"/>
    <x v="0"/>
  </r>
  <r>
    <n v="122"/>
    <x v="2"/>
  </r>
  <r>
    <n v="282"/>
    <x v="2"/>
  </r>
  <r>
    <n v="39"/>
    <x v="0"/>
  </r>
  <r>
    <n v="217"/>
    <x v="0"/>
  </r>
  <r>
    <n v="17"/>
    <x v="0"/>
  </r>
  <r>
    <n v="25"/>
    <x v="1"/>
  </r>
  <r>
    <n v="10"/>
    <x v="2"/>
  </r>
  <r>
    <n v="231"/>
    <x v="1"/>
  </r>
  <r>
    <n v="143"/>
    <x v="0"/>
  </r>
  <r>
    <n v="245"/>
    <x v="1"/>
  </r>
  <r>
    <n v="65"/>
    <x v="0"/>
  </r>
  <r>
    <n v="189"/>
    <x v="0"/>
  </r>
  <r>
    <n v="219"/>
    <x v="2"/>
  </r>
  <r>
    <n v="271"/>
    <x v="0"/>
  </r>
  <r>
    <n v="208"/>
    <x v="0"/>
  </r>
  <r>
    <n v="289"/>
    <x v="2"/>
  </r>
  <r>
    <n v="227"/>
    <x v="1"/>
  </r>
  <r>
    <n v="226"/>
    <x v="0"/>
  </r>
  <r>
    <n v="255"/>
    <x v="1"/>
  </r>
  <r>
    <n v="177"/>
    <x v="2"/>
  </r>
  <r>
    <n v="270"/>
    <x v="2"/>
  </r>
  <r>
    <n v="219"/>
    <x v="1"/>
  </r>
  <r>
    <n v="238"/>
    <x v="1"/>
  </r>
  <r>
    <n v="277"/>
    <x v="2"/>
  </r>
  <r>
    <n v="83"/>
    <x v="2"/>
  </r>
  <r>
    <n v="102"/>
    <x v="0"/>
  </r>
  <r>
    <n v="85"/>
    <x v="2"/>
  </r>
  <r>
    <n v="87"/>
    <x v="1"/>
  </r>
  <r>
    <n v="113"/>
    <x v="1"/>
  </r>
  <r>
    <n v="241"/>
    <x v="1"/>
  </r>
  <r>
    <n v="213"/>
    <x v="0"/>
  </r>
  <r>
    <n v="32"/>
    <x v="0"/>
  </r>
  <r>
    <n v="60"/>
    <x v="0"/>
  </r>
  <r>
    <n v="44"/>
    <x v="0"/>
  </r>
  <r>
    <n v="194"/>
    <x v="0"/>
  </r>
  <r>
    <n v="57"/>
    <x v="0"/>
  </r>
  <r>
    <n v="224"/>
    <x v="0"/>
  </r>
  <r>
    <n v="123"/>
    <x v="1"/>
  </r>
  <r>
    <n v="118"/>
    <x v="1"/>
  </r>
  <r>
    <n v="186"/>
    <x v="0"/>
  </r>
  <r>
    <n v="112"/>
    <x v="1"/>
  </r>
  <r>
    <n v="174"/>
    <x v="2"/>
  </r>
  <r>
    <n v="25"/>
    <x v="1"/>
  </r>
  <r>
    <n v="236"/>
    <x v="0"/>
  </r>
  <r>
    <n v="251"/>
    <x v="2"/>
  </r>
  <r>
    <n v="282"/>
    <x v="0"/>
  </r>
  <r>
    <n v="199"/>
    <x v="1"/>
  </r>
  <r>
    <n v="235"/>
    <x v="2"/>
  </r>
  <r>
    <n v="70"/>
    <x v="0"/>
  </r>
  <r>
    <n v="299"/>
    <x v="2"/>
  </r>
  <r>
    <n v="217"/>
    <x v="1"/>
  </r>
  <r>
    <n v="233"/>
    <x v="1"/>
  </r>
  <r>
    <n v="65"/>
    <x v="1"/>
  </r>
  <r>
    <n v="129"/>
    <x v="1"/>
  </r>
  <r>
    <n v="104"/>
    <x v="0"/>
  </r>
  <r>
    <n v="229"/>
    <x v="0"/>
  </r>
  <r>
    <n v="272"/>
    <x v="2"/>
  </r>
  <r>
    <n v="265"/>
    <x v="0"/>
  </r>
  <r>
    <n v="128"/>
    <x v="2"/>
  </r>
  <r>
    <n v="143"/>
    <x v="1"/>
  </r>
  <r>
    <n v="237"/>
    <x v="1"/>
  </r>
  <r>
    <n v="169"/>
    <x v="1"/>
  </r>
  <r>
    <n v="230"/>
    <x v="1"/>
  </r>
  <r>
    <n v="10"/>
    <x v="2"/>
  </r>
  <r>
    <n v="34"/>
    <x v="1"/>
  </r>
  <r>
    <n v="64"/>
    <x v="0"/>
  </r>
  <r>
    <n v="23"/>
    <x v="1"/>
  </r>
  <r>
    <n v="234"/>
    <x v="0"/>
  </r>
  <r>
    <n v="112"/>
    <x v="2"/>
  </r>
  <r>
    <n v="84"/>
    <x v="2"/>
  </r>
  <r>
    <n v="52"/>
    <x v="0"/>
  </r>
  <r>
    <n v="235"/>
    <x v="0"/>
  </r>
  <r>
    <n v="127"/>
    <x v="0"/>
  </r>
  <r>
    <n v="167"/>
    <x v="0"/>
  </r>
  <r>
    <n v="58"/>
    <x v="2"/>
  </r>
  <r>
    <n v="131"/>
    <x v="1"/>
  </r>
  <r>
    <n v="46"/>
    <x v="0"/>
  </r>
  <r>
    <n v="180"/>
    <x v="2"/>
  </r>
  <r>
    <n v="97"/>
    <x v="1"/>
  </r>
  <r>
    <n v="79"/>
    <x v="0"/>
  </r>
  <r>
    <n v="170"/>
    <x v="1"/>
  </r>
  <r>
    <n v="297"/>
    <x v="0"/>
  </r>
  <r>
    <n v="122"/>
    <x v="1"/>
  </r>
  <r>
    <n v="36"/>
    <x v="2"/>
  </r>
  <r>
    <n v="212"/>
    <x v="1"/>
  </r>
  <r>
    <n v="256"/>
    <x v="1"/>
  </r>
  <r>
    <n v="89"/>
    <x v="2"/>
  </r>
  <r>
    <n v="205"/>
    <x v="0"/>
  </r>
  <r>
    <n v="210"/>
    <x v="2"/>
  </r>
  <r>
    <n v="21"/>
    <x v="0"/>
  </r>
  <r>
    <n v="275"/>
    <x v="1"/>
  </r>
  <r>
    <n v="275"/>
    <x v="2"/>
  </r>
  <r>
    <n v="230"/>
    <x v="0"/>
  </r>
  <r>
    <n v="73"/>
    <x v="2"/>
  </r>
  <r>
    <n v="228"/>
    <x v="0"/>
  </r>
  <r>
    <n v="47"/>
    <x v="2"/>
  </r>
  <r>
    <n v="158"/>
    <x v="1"/>
  </r>
  <r>
    <n v="176"/>
    <x v="2"/>
  </r>
  <r>
    <n v="137"/>
    <x v="1"/>
  </r>
  <r>
    <n v="172"/>
    <x v="2"/>
  </r>
  <r>
    <n v="130"/>
    <x v="2"/>
  </r>
  <r>
    <n v="63"/>
    <x v="1"/>
  </r>
  <r>
    <n v="195"/>
    <x v="2"/>
  </r>
  <r>
    <n v="197"/>
    <x v="0"/>
  </r>
  <r>
    <n v="277"/>
    <x v="0"/>
  </r>
  <r>
    <n v="221"/>
    <x v="0"/>
  </r>
  <r>
    <n v="200"/>
    <x v="2"/>
  </r>
  <r>
    <n v="17"/>
    <x v="0"/>
  </r>
  <r>
    <n v="137"/>
    <x v="1"/>
  </r>
  <r>
    <n v="241"/>
    <x v="2"/>
  </r>
  <r>
    <n v="45"/>
    <x v="1"/>
  </r>
  <r>
    <n v="132"/>
    <x v="1"/>
  </r>
  <r>
    <n v="240"/>
    <x v="0"/>
  </r>
  <r>
    <n v="91"/>
    <x v="2"/>
  </r>
  <r>
    <n v="157"/>
    <x v="2"/>
  </r>
  <r>
    <n v="160"/>
    <x v="0"/>
  </r>
  <r>
    <n v="239"/>
    <x v="2"/>
  </r>
  <r>
    <n v="24"/>
    <x v="2"/>
  </r>
  <r>
    <n v="238"/>
    <x v="0"/>
  </r>
  <r>
    <n v="102"/>
    <x v="0"/>
  </r>
  <r>
    <n v="41"/>
    <x v="2"/>
  </r>
  <r>
    <n v="121"/>
    <x v="1"/>
  </r>
  <r>
    <n v="270"/>
    <x v="1"/>
  </r>
  <r>
    <n v="93"/>
    <x v="1"/>
  </r>
  <r>
    <n v="63"/>
    <x v="0"/>
  </r>
  <r>
    <n v="212"/>
    <x v="2"/>
  </r>
  <r>
    <n v="20"/>
    <x v="0"/>
  </r>
  <r>
    <n v="150"/>
    <x v="2"/>
  </r>
  <r>
    <n v="282"/>
    <x v="1"/>
  </r>
  <r>
    <n v="208"/>
    <x v="0"/>
  </r>
  <r>
    <n v="184"/>
    <x v="2"/>
  </r>
  <r>
    <n v="198"/>
    <x v="0"/>
  </r>
  <r>
    <n v="82"/>
    <x v="2"/>
  </r>
  <r>
    <n v="117"/>
    <x v="0"/>
  </r>
  <r>
    <n v="64"/>
    <x v="0"/>
  </r>
  <r>
    <n v="164"/>
    <x v="1"/>
  </r>
  <r>
    <n v="185"/>
    <x v="0"/>
  </r>
  <r>
    <n v="19"/>
    <x v="2"/>
  </r>
  <r>
    <n v="223"/>
    <x v="2"/>
  </r>
  <r>
    <n v="11"/>
    <x v="2"/>
  </r>
  <r>
    <n v="282"/>
    <x v="0"/>
  </r>
  <r>
    <n v="43"/>
    <x v="1"/>
  </r>
  <r>
    <n v="287"/>
    <x v="0"/>
  </r>
  <r>
    <n v="117"/>
    <x v="1"/>
  </r>
  <r>
    <n v="293"/>
    <x v="1"/>
  </r>
  <r>
    <n v="148"/>
    <x v="1"/>
  </r>
  <r>
    <n v="154"/>
    <x v="0"/>
  </r>
  <r>
    <n v="238"/>
    <x v="1"/>
  </r>
  <r>
    <n v="201"/>
    <x v="2"/>
  </r>
  <r>
    <n v="262"/>
    <x v="1"/>
  </r>
  <r>
    <n v="1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5D182-4DF1-43DB-82F3-D6058A268F2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Engagement Rate" fld="1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DA190-0075-48CB-9B4E-73E5C719509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0" firstHeaderRow="1" firstDataRow="3" firstDataCol="1"/>
  <pivotFields count="11">
    <pivotField showAll="0"/>
    <pivotField axis="axisCol" showAll="0">
      <items count="5">
        <item x="1"/>
        <item x="3"/>
        <item x="0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Total Likes" fld="3" baseField="2" baseItem="0"/>
    <dataField name="Total Shares" fld="4" baseField="2" baseItem="1"/>
    <dataField name="Total Comments" fld="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78869-828C-4169-8A11-F60C3217D707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dataField="1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Average of Clicks" fld="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EBB45-D370-4F37-A61C-887EABF9B501}" name="Table1" displayName="Table1" ref="A1:K301" totalsRowShown="0">
  <autoFilter ref="A1:K301" xr:uid="{640EBB45-D370-4F37-A61C-887EABF9B501}"/>
  <sortState xmlns:xlrd2="http://schemas.microsoft.com/office/spreadsheetml/2017/richdata2" ref="A2:K301">
    <sortCondition descending="1" ref="K2:K301"/>
  </sortState>
  <tableColumns count="11">
    <tableColumn id="1" xr3:uid="{6CCD41E5-B754-4DEA-A134-2D4EC5D6CCBC}" name="Post ID"/>
    <tableColumn id="2" xr3:uid="{0EA69143-AEF2-4533-9D8A-291609FDCE15}" name="Platform"/>
    <tableColumn id="3" xr3:uid="{CC3C5C12-1478-43F8-9EAA-47BD443AB83A}" name="Content Type"/>
    <tableColumn id="4" xr3:uid="{D511EC43-3309-4383-BE1F-EF2EA620E8A4}" name="Likes"/>
    <tableColumn id="5" xr3:uid="{0F34281E-5EF4-4A5D-B07B-D3A785313645}" name="Shares"/>
    <tableColumn id="6" xr3:uid="{08C13C34-0834-4AFC-AAB5-D8516CB6BF95}" name="Comments"/>
    <tableColumn id="7" xr3:uid="{8F41FB6D-7970-446D-9D83-0872221D2B2A}" name="Impressions"/>
    <tableColumn id="8" xr3:uid="{B432A281-AC0C-4367-93D3-FD86A973A9C1}" name="Clicks"/>
    <tableColumn id="9" xr3:uid="{D193D10F-0749-4B9D-972C-EBC631C156D8}" name="Hashtags Used"/>
    <tableColumn id="10" xr3:uid="{6BF0AE1F-8092-4E0C-9F7A-CF1F1ED35D63}" name="Total_Engagement">
      <calculatedColumnFormula>D2 + E2 + F2</calculatedColumnFormula>
    </tableColumn>
    <tableColumn id="11" xr3:uid="{35D88F7A-8DB7-4071-A500-B2023F0A8D53}" name="Engagement_Rate">
      <calculatedColumnFormula>G2/J2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61AEB8-F624-4EDC-83AD-FCAB2617A04E}" name="Table2" displayName="Table2" ref="A12:K23" totalsRowShown="0">
  <autoFilter ref="A12:K23" xr:uid="{D961AEB8-F624-4EDC-83AD-FCAB2617A04E}"/>
  <tableColumns count="11">
    <tableColumn id="1" xr3:uid="{CAABC1CE-2F7F-4C1C-A51E-1DC0B0CAE3AD}" name="Top 10 Performing Posts"/>
    <tableColumn id="2" xr3:uid="{063FB0B8-DD42-43DA-A96D-CDF37C8A2017}" name="Column1"/>
    <tableColumn id="3" xr3:uid="{5878AA3F-FD49-4296-B736-CFCB5FDC9810}" name="Column2"/>
    <tableColumn id="4" xr3:uid="{965D6279-429B-4EA4-A793-5D1B984FAEC9}" name="Column3"/>
    <tableColumn id="5" xr3:uid="{BF5D86ED-D0AB-4611-9188-D6297A1A1771}" name="Column4"/>
    <tableColumn id="6" xr3:uid="{CA647666-C245-460C-8342-8381B4F3A9F6}" name="Column5"/>
    <tableColumn id="7" xr3:uid="{66F68A97-05D3-47A8-90EA-2B9D5B971615}" name="Column6"/>
    <tableColumn id="8" xr3:uid="{BDD2235F-5D87-4DA4-80B6-779EF9736469}" name="Column7"/>
    <tableColumn id="9" xr3:uid="{54DE5161-88BE-4C70-82E1-35BD7B8564D9}" name="Column8"/>
    <tableColumn id="10" xr3:uid="{52E8F469-04BE-41DE-8F19-C6637CEBFEA9}" name="Column9"/>
    <tableColumn id="11" xr3:uid="{8F11C883-1AF4-4492-B5F7-5C84D13E4509}" name="Column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D16588-2959-4FF5-B86C-4637A9D9E2CA}" name="Table3" displayName="Table3" ref="A1:D302" totalsRowShown="0">
  <autoFilter ref="A1:D302" xr:uid="{9DD16588-2959-4FF5-B86C-4637A9D9E2CA}"/>
  <tableColumns count="4">
    <tableColumn id="1" xr3:uid="{512EE781-8CC4-434B-B97D-A331899CC345}" name="Column1"/>
    <tableColumn id="2" xr3:uid="{FB13ED10-F666-438A-9DB0-173D409EEDBF}" name="Column2"/>
    <tableColumn id="3" xr3:uid="{088F6BF4-43BE-4EC0-8350-440AC5D7BDBE}" name="Column3"/>
    <tableColumn id="4" xr3:uid="{E84DAB38-D921-4758-9A0C-BFF96D00F0D9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A12B-0B97-463D-89E8-068948327BE3}">
  <dimension ref="A1:M301"/>
  <sheetViews>
    <sheetView workbookViewId="0">
      <selection activeCell="L1" activeCellId="8" sqref="A1:A1048576 B1:B1048576 D1:D1048576 F1:F1048576 G1:G1048576 H1:H1048576 I1:I1048576 K1:K1048576 L1:L1048576"/>
    </sheetView>
  </sheetViews>
  <sheetFormatPr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45649</v>
      </c>
      <c r="D2" t="s">
        <v>15</v>
      </c>
      <c r="E2" t="s">
        <v>16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17</v>
      </c>
      <c r="M2" t="s">
        <v>18</v>
      </c>
    </row>
    <row r="3" spans="1:13">
      <c r="A3" t="s">
        <v>19</v>
      </c>
      <c r="B3" t="s">
        <v>14</v>
      </c>
      <c r="C3">
        <v>45750</v>
      </c>
      <c r="D3" t="s">
        <v>20</v>
      </c>
      <c r="E3" t="s">
        <v>21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22</v>
      </c>
      <c r="M3" t="s">
        <v>23</v>
      </c>
    </row>
    <row r="4" spans="1:13">
      <c r="A4" t="s">
        <v>24</v>
      </c>
      <c r="B4" t="s">
        <v>25</v>
      </c>
      <c r="C4">
        <v>45789</v>
      </c>
      <c r="D4" t="s">
        <v>15</v>
      </c>
      <c r="E4" t="s">
        <v>26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27</v>
      </c>
      <c r="M4" t="s">
        <v>28</v>
      </c>
    </row>
    <row r="5" spans="1:13">
      <c r="A5" t="s">
        <v>29</v>
      </c>
      <c r="B5" t="s">
        <v>30</v>
      </c>
      <c r="C5">
        <v>45516</v>
      </c>
      <c r="D5" t="s">
        <v>31</v>
      </c>
      <c r="E5" t="s">
        <v>32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33</v>
      </c>
      <c r="M5" t="s">
        <v>34</v>
      </c>
    </row>
    <row r="6" spans="1:13">
      <c r="A6" t="s">
        <v>35</v>
      </c>
      <c r="B6" t="s">
        <v>25</v>
      </c>
      <c r="C6">
        <v>45469</v>
      </c>
      <c r="D6" t="s">
        <v>15</v>
      </c>
      <c r="E6" t="s">
        <v>26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36</v>
      </c>
      <c r="M6" t="s">
        <v>18</v>
      </c>
    </row>
    <row r="7" spans="1:13">
      <c r="A7" t="s">
        <v>37</v>
      </c>
      <c r="B7" t="s">
        <v>38</v>
      </c>
      <c r="C7">
        <v>45596</v>
      </c>
      <c r="D7" t="s">
        <v>39</v>
      </c>
      <c r="E7" t="s">
        <v>40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27</v>
      </c>
      <c r="M7" t="s">
        <v>23</v>
      </c>
    </row>
    <row r="8" spans="1:13">
      <c r="A8" t="s">
        <v>41</v>
      </c>
      <c r="B8" t="s">
        <v>14</v>
      </c>
      <c r="C8">
        <v>45467</v>
      </c>
      <c r="D8" t="s">
        <v>39</v>
      </c>
      <c r="E8" t="s">
        <v>42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27</v>
      </c>
      <c r="M8" t="s">
        <v>23</v>
      </c>
    </row>
    <row r="9" spans="1:13">
      <c r="A9" t="s">
        <v>43</v>
      </c>
      <c r="B9" t="s">
        <v>25</v>
      </c>
      <c r="C9">
        <v>45486</v>
      </c>
      <c r="D9" t="s">
        <v>44</v>
      </c>
      <c r="E9" t="s">
        <v>45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33</v>
      </c>
      <c r="M9" t="s">
        <v>34</v>
      </c>
    </row>
    <row r="10" spans="1:13">
      <c r="A10" t="s">
        <v>46</v>
      </c>
      <c r="B10" t="s">
        <v>38</v>
      </c>
      <c r="C10">
        <v>45534</v>
      </c>
      <c r="D10" t="s">
        <v>20</v>
      </c>
      <c r="E10" t="s">
        <v>47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27</v>
      </c>
      <c r="M10" t="s">
        <v>23</v>
      </c>
    </row>
    <row r="11" spans="1:13">
      <c r="A11" t="s">
        <v>48</v>
      </c>
      <c r="B11" t="s">
        <v>38</v>
      </c>
      <c r="C11">
        <v>45727</v>
      </c>
      <c r="D11" t="s">
        <v>44</v>
      </c>
      <c r="E11" t="s">
        <v>49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27</v>
      </c>
      <c r="M11" t="s">
        <v>23</v>
      </c>
    </row>
    <row r="12" spans="1:13">
      <c r="A12" t="s">
        <v>50</v>
      </c>
      <c r="B12" t="s">
        <v>30</v>
      </c>
      <c r="C12">
        <v>45690</v>
      </c>
      <c r="D12" t="s">
        <v>31</v>
      </c>
      <c r="E12" t="s">
        <v>32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51</v>
      </c>
      <c r="M12" t="s">
        <v>34</v>
      </c>
    </row>
    <row r="13" spans="1:13">
      <c r="A13" t="s">
        <v>52</v>
      </c>
      <c r="B13" t="s">
        <v>38</v>
      </c>
      <c r="C13">
        <v>45494</v>
      </c>
      <c r="D13" t="s">
        <v>15</v>
      </c>
      <c r="E13" t="s">
        <v>53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51</v>
      </c>
      <c r="M13" t="s">
        <v>28</v>
      </c>
    </row>
    <row r="14" spans="1:13">
      <c r="A14" t="s">
        <v>54</v>
      </c>
      <c r="B14" t="s">
        <v>25</v>
      </c>
      <c r="C14">
        <v>45614</v>
      </c>
      <c r="D14" t="s">
        <v>39</v>
      </c>
      <c r="E14" t="s">
        <v>55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33</v>
      </c>
      <c r="M14" t="s">
        <v>18</v>
      </c>
    </row>
    <row r="15" spans="1:13">
      <c r="A15" t="s">
        <v>56</v>
      </c>
      <c r="B15" t="s">
        <v>38</v>
      </c>
      <c r="C15">
        <v>45704</v>
      </c>
      <c r="D15" t="s">
        <v>31</v>
      </c>
      <c r="E15" t="s">
        <v>57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51</v>
      </c>
    </row>
    <row r="16" spans="1:13">
      <c r="A16" t="s">
        <v>58</v>
      </c>
      <c r="B16" t="s">
        <v>38</v>
      </c>
      <c r="C16">
        <v>45589</v>
      </c>
      <c r="D16" t="s">
        <v>59</v>
      </c>
      <c r="E16" t="s">
        <v>60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51</v>
      </c>
      <c r="M16" t="s">
        <v>18</v>
      </c>
    </row>
    <row r="17" spans="1:13">
      <c r="A17" t="s">
        <v>61</v>
      </c>
      <c r="B17" t="s">
        <v>38</v>
      </c>
      <c r="C17">
        <v>45530</v>
      </c>
      <c r="D17" t="s">
        <v>20</v>
      </c>
      <c r="E17" t="s">
        <v>47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51</v>
      </c>
      <c r="M17" t="s">
        <v>28</v>
      </c>
    </row>
    <row r="18" spans="1:13">
      <c r="A18" t="s">
        <v>62</v>
      </c>
      <c r="B18" t="s">
        <v>38</v>
      </c>
      <c r="C18">
        <v>45782</v>
      </c>
      <c r="D18" t="s">
        <v>20</v>
      </c>
      <c r="E18" t="s">
        <v>47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33</v>
      </c>
      <c r="M18" t="s">
        <v>34</v>
      </c>
    </row>
    <row r="19" spans="1:13">
      <c r="A19" t="s">
        <v>63</v>
      </c>
      <c r="B19" t="s">
        <v>30</v>
      </c>
      <c r="C19">
        <v>45523</v>
      </c>
      <c r="D19" t="s">
        <v>15</v>
      </c>
      <c r="E19" t="s">
        <v>64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51</v>
      </c>
      <c r="M19" t="s">
        <v>18</v>
      </c>
    </row>
    <row r="20" spans="1:13">
      <c r="A20" t="s">
        <v>65</v>
      </c>
      <c r="B20" t="s">
        <v>30</v>
      </c>
      <c r="C20">
        <v>45466</v>
      </c>
      <c r="D20" t="s">
        <v>59</v>
      </c>
      <c r="E20" t="s">
        <v>66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27</v>
      </c>
      <c r="M20" t="s">
        <v>34</v>
      </c>
    </row>
    <row r="21" spans="1:13">
      <c r="A21" t="s">
        <v>67</v>
      </c>
      <c r="B21" t="s">
        <v>30</v>
      </c>
      <c r="C21">
        <v>45544</v>
      </c>
      <c r="D21" t="s">
        <v>39</v>
      </c>
      <c r="E21" t="s">
        <v>68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27</v>
      </c>
      <c r="M21" t="s">
        <v>18</v>
      </c>
    </row>
    <row r="22" spans="1:13">
      <c r="A22" t="s">
        <v>69</v>
      </c>
      <c r="B22" t="s">
        <v>30</v>
      </c>
      <c r="C22">
        <v>45661</v>
      </c>
      <c r="D22" t="s">
        <v>15</v>
      </c>
      <c r="E22" t="s">
        <v>64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51</v>
      </c>
      <c r="M22" t="s">
        <v>34</v>
      </c>
    </row>
    <row r="23" spans="1:13">
      <c r="A23" t="s">
        <v>70</v>
      </c>
      <c r="B23" t="s">
        <v>38</v>
      </c>
      <c r="C23">
        <v>45715</v>
      </c>
      <c r="D23" t="s">
        <v>20</v>
      </c>
      <c r="E23" t="s">
        <v>47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27</v>
      </c>
      <c r="M23" t="s">
        <v>34</v>
      </c>
    </row>
    <row r="24" spans="1:13">
      <c r="A24" t="s">
        <v>71</v>
      </c>
      <c r="B24" t="s">
        <v>38</v>
      </c>
      <c r="C24">
        <v>45602</v>
      </c>
      <c r="D24" t="s">
        <v>59</v>
      </c>
      <c r="E24" t="s">
        <v>60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72</v>
      </c>
      <c r="M24" t="s">
        <v>23</v>
      </c>
    </row>
    <row r="25" spans="1:13">
      <c r="A25" t="s">
        <v>73</v>
      </c>
      <c r="B25" t="s">
        <v>38</v>
      </c>
      <c r="C25">
        <v>45680</v>
      </c>
      <c r="D25" t="s">
        <v>59</v>
      </c>
      <c r="E25" t="s">
        <v>60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51</v>
      </c>
      <c r="M25" t="s">
        <v>28</v>
      </c>
    </row>
    <row r="26" spans="1:13">
      <c r="A26" t="s">
        <v>74</v>
      </c>
      <c r="B26" t="s">
        <v>14</v>
      </c>
      <c r="C26">
        <v>45757</v>
      </c>
      <c r="D26" t="s">
        <v>39</v>
      </c>
      <c r="E26" t="s">
        <v>42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33</v>
      </c>
    </row>
    <row r="27" spans="1:13">
      <c r="A27" t="s">
        <v>75</v>
      </c>
      <c r="B27" t="s">
        <v>25</v>
      </c>
      <c r="C27">
        <v>45752</v>
      </c>
      <c r="D27" t="s">
        <v>15</v>
      </c>
      <c r="E27" t="s">
        <v>26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51</v>
      </c>
      <c r="M27" t="s">
        <v>23</v>
      </c>
    </row>
    <row r="28" spans="1:13">
      <c r="A28" t="s">
        <v>76</v>
      </c>
      <c r="B28" t="s">
        <v>25</v>
      </c>
      <c r="C28">
        <v>45552</v>
      </c>
      <c r="D28" t="s">
        <v>20</v>
      </c>
      <c r="E28" t="s">
        <v>77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51</v>
      </c>
      <c r="M28" t="s">
        <v>34</v>
      </c>
    </row>
    <row r="29" spans="1:13">
      <c r="A29" t="s">
        <v>78</v>
      </c>
      <c r="B29" t="s">
        <v>30</v>
      </c>
      <c r="C29">
        <v>45720</v>
      </c>
      <c r="D29" t="s">
        <v>59</v>
      </c>
      <c r="E29" t="s">
        <v>66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51</v>
      </c>
      <c r="M29" t="s">
        <v>34</v>
      </c>
    </row>
    <row r="30" spans="1:13">
      <c r="A30" t="s">
        <v>79</v>
      </c>
      <c r="B30" t="s">
        <v>30</v>
      </c>
      <c r="C30">
        <v>45688</v>
      </c>
      <c r="D30" t="s">
        <v>39</v>
      </c>
      <c r="E30" t="s">
        <v>68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51</v>
      </c>
      <c r="M30" t="s">
        <v>28</v>
      </c>
    </row>
    <row r="31" spans="1:13">
      <c r="A31" t="s">
        <v>80</v>
      </c>
      <c r="B31" t="s">
        <v>30</v>
      </c>
      <c r="C31">
        <v>45713</v>
      </c>
      <c r="D31" t="s">
        <v>59</v>
      </c>
      <c r="E31" t="s">
        <v>66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33</v>
      </c>
    </row>
    <row r="32" spans="1:13">
      <c r="A32" t="s">
        <v>81</v>
      </c>
      <c r="B32" t="s">
        <v>30</v>
      </c>
      <c r="C32">
        <v>45642</v>
      </c>
      <c r="D32" t="s">
        <v>20</v>
      </c>
      <c r="E32" t="s">
        <v>82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27</v>
      </c>
      <c r="M32" t="s">
        <v>23</v>
      </c>
    </row>
    <row r="33" spans="1:13">
      <c r="A33" t="s">
        <v>83</v>
      </c>
      <c r="B33" t="s">
        <v>14</v>
      </c>
      <c r="C33">
        <v>45504</v>
      </c>
      <c r="D33" t="s">
        <v>39</v>
      </c>
      <c r="E33" t="s">
        <v>42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33</v>
      </c>
      <c r="M33" t="s">
        <v>18</v>
      </c>
    </row>
    <row r="34" spans="1:13">
      <c r="A34" t="s">
        <v>84</v>
      </c>
      <c r="B34" t="s">
        <v>38</v>
      </c>
      <c r="C34">
        <v>45525</v>
      </c>
      <c r="D34" t="s">
        <v>44</v>
      </c>
      <c r="E34" t="s">
        <v>49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27</v>
      </c>
      <c r="M34" t="s">
        <v>18</v>
      </c>
    </row>
    <row r="35" spans="1:13">
      <c r="A35" t="s">
        <v>85</v>
      </c>
      <c r="B35" t="s">
        <v>38</v>
      </c>
      <c r="C35">
        <v>45742</v>
      </c>
      <c r="D35" t="s">
        <v>20</v>
      </c>
      <c r="E35" t="s">
        <v>47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27</v>
      </c>
      <c r="M35" t="s">
        <v>28</v>
      </c>
    </row>
    <row r="36" spans="1:13">
      <c r="A36" t="s">
        <v>86</v>
      </c>
      <c r="B36" t="s">
        <v>30</v>
      </c>
      <c r="C36">
        <v>45626</v>
      </c>
      <c r="D36" t="s">
        <v>59</v>
      </c>
      <c r="E36" t="s">
        <v>66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51</v>
      </c>
      <c r="M36" t="s">
        <v>23</v>
      </c>
    </row>
    <row r="37" spans="1:13">
      <c r="A37" t="s">
        <v>87</v>
      </c>
      <c r="B37" t="s">
        <v>30</v>
      </c>
      <c r="C37">
        <v>45766</v>
      </c>
      <c r="D37" t="s">
        <v>31</v>
      </c>
      <c r="E37" t="s">
        <v>32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33</v>
      </c>
      <c r="M37" t="s">
        <v>23</v>
      </c>
    </row>
    <row r="38" spans="1:13">
      <c r="A38" t="s">
        <v>88</v>
      </c>
      <c r="B38" t="s">
        <v>38</v>
      </c>
      <c r="C38">
        <v>45663</v>
      </c>
      <c r="D38" t="s">
        <v>39</v>
      </c>
      <c r="E38" t="s">
        <v>40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33</v>
      </c>
      <c r="M38" t="s">
        <v>23</v>
      </c>
    </row>
    <row r="39" spans="1:13">
      <c r="A39" t="s">
        <v>89</v>
      </c>
      <c r="B39" t="s">
        <v>25</v>
      </c>
      <c r="C39">
        <v>45705</v>
      </c>
      <c r="D39" t="s">
        <v>15</v>
      </c>
      <c r="E39" t="s">
        <v>26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27</v>
      </c>
      <c r="M39" t="s">
        <v>34</v>
      </c>
    </row>
    <row r="40" spans="1:13">
      <c r="A40" t="s">
        <v>90</v>
      </c>
      <c r="B40" t="s">
        <v>38</v>
      </c>
      <c r="C40">
        <v>45621</v>
      </c>
      <c r="D40" t="s">
        <v>44</v>
      </c>
      <c r="E40" t="s">
        <v>49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27</v>
      </c>
    </row>
    <row r="41" spans="1:13">
      <c r="A41" t="s">
        <v>91</v>
      </c>
      <c r="B41" t="s">
        <v>14</v>
      </c>
      <c r="C41">
        <v>45723</v>
      </c>
      <c r="D41" t="s">
        <v>44</v>
      </c>
      <c r="E41" t="s">
        <v>92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33</v>
      </c>
      <c r="M41" t="s">
        <v>34</v>
      </c>
    </row>
    <row r="42" spans="1:13">
      <c r="A42" t="s">
        <v>93</v>
      </c>
      <c r="B42" t="s">
        <v>30</v>
      </c>
      <c r="C42">
        <v>45724</v>
      </c>
      <c r="D42" t="s">
        <v>15</v>
      </c>
      <c r="E42" t="s">
        <v>64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51</v>
      </c>
      <c r="M42" t="s">
        <v>34</v>
      </c>
    </row>
    <row r="43" spans="1:13">
      <c r="A43" t="s">
        <v>94</v>
      </c>
      <c r="B43" t="s">
        <v>25</v>
      </c>
      <c r="C43">
        <v>45721</v>
      </c>
      <c r="D43" t="s">
        <v>15</v>
      </c>
      <c r="E43" t="s">
        <v>26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33</v>
      </c>
    </row>
    <row r="44" spans="1:13">
      <c r="A44" t="s">
        <v>95</v>
      </c>
      <c r="B44" t="s">
        <v>30</v>
      </c>
      <c r="C44">
        <v>45640</v>
      </c>
      <c r="D44" t="s">
        <v>39</v>
      </c>
      <c r="E44" t="s">
        <v>68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27</v>
      </c>
      <c r="M44" t="s">
        <v>28</v>
      </c>
    </row>
    <row r="45" spans="1:13">
      <c r="A45" t="s">
        <v>96</v>
      </c>
      <c r="B45" t="s">
        <v>14</v>
      </c>
      <c r="C45">
        <v>45718</v>
      </c>
      <c r="D45" t="s">
        <v>44</v>
      </c>
      <c r="E45" t="s">
        <v>92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27</v>
      </c>
    </row>
    <row r="46" spans="1:13">
      <c r="A46" t="s">
        <v>97</v>
      </c>
      <c r="B46" t="s">
        <v>38</v>
      </c>
      <c r="C46">
        <v>45597</v>
      </c>
      <c r="D46" t="s">
        <v>59</v>
      </c>
      <c r="E46" t="s">
        <v>60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51</v>
      </c>
      <c r="M46" t="s">
        <v>18</v>
      </c>
    </row>
    <row r="47" spans="1:13">
      <c r="A47" t="s">
        <v>98</v>
      </c>
      <c r="B47" t="s">
        <v>14</v>
      </c>
      <c r="C47">
        <v>45779</v>
      </c>
      <c r="D47" t="s">
        <v>59</v>
      </c>
      <c r="E47" t="s">
        <v>99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27</v>
      </c>
      <c r="M47" t="s">
        <v>34</v>
      </c>
    </row>
    <row r="48" spans="1:13">
      <c r="A48" t="s">
        <v>100</v>
      </c>
      <c r="B48" t="s">
        <v>14</v>
      </c>
      <c r="C48">
        <v>45712</v>
      </c>
      <c r="D48" t="s">
        <v>39</v>
      </c>
      <c r="E48" t="s">
        <v>42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51</v>
      </c>
    </row>
    <row r="49" spans="1:13">
      <c r="A49" t="s">
        <v>101</v>
      </c>
      <c r="B49" t="s">
        <v>14</v>
      </c>
      <c r="C49">
        <v>45727</v>
      </c>
      <c r="D49" t="s">
        <v>31</v>
      </c>
      <c r="E49" t="s">
        <v>102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27</v>
      </c>
    </row>
    <row r="50" spans="1:13">
      <c r="A50" t="s">
        <v>103</v>
      </c>
      <c r="B50" t="s">
        <v>14</v>
      </c>
      <c r="C50">
        <v>45453</v>
      </c>
      <c r="D50" t="s">
        <v>31</v>
      </c>
      <c r="E50" t="s">
        <v>102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27</v>
      </c>
      <c r="M50" t="s">
        <v>34</v>
      </c>
    </row>
    <row r="51" spans="1:13">
      <c r="A51" t="s">
        <v>104</v>
      </c>
      <c r="B51" t="s">
        <v>25</v>
      </c>
      <c r="C51">
        <v>45476</v>
      </c>
      <c r="D51" t="s">
        <v>31</v>
      </c>
      <c r="E51" t="s">
        <v>105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27</v>
      </c>
      <c r="M51" t="s">
        <v>28</v>
      </c>
    </row>
    <row r="52" spans="1:13">
      <c r="A52" t="s">
        <v>106</v>
      </c>
      <c r="B52" t="s">
        <v>38</v>
      </c>
      <c r="C52">
        <v>45456</v>
      </c>
      <c r="D52" t="s">
        <v>39</v>
      </c>
      <c r="E52" t="s">
        <v>40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51</v>
      </c>
      <c r="M52" t="s">
        <v>23</v>
      </c>
    </row>
    <row r="53" spans="1:13">
      <c r="A53" t="s">
        <v>107</v>
      </c>
      <c r="B53" t="s">
        <v>38</v>
      </c>
      <c r="C53">
        <v>45660</v>
      </c>
      <c r="D53" t="s">
        <v>44</v>
      </c>
      <c r="E53" t="s">
        <v>49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27</v>
      </c>
      <c r="M53" t="s">
        <v>34</v>
      </c>
    </row>
    <row r="54" spans="1:13">
      <c r="A54" t="s">
        <v>108</v>
      </c>
      <c r="B54" t="s">
        <v>25</v>
      </c>
      <c r="C54">
        <v>45712</v>
      </c>
      <c r="D54" t="s">
        <v>39</v>
      </c>
      <c r="E54" t="s">
        <v>55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109</v>
      </c>
    </row>
    <row r="55" spans="1:13">
      <c r="A55" t="s">
        <v>110</v>
      </c>
      <c r="B55" t="s">
        <v>25</v>
      </c>
      <c r="C55">
        <v>45729</v>
      </c>
      <c r="D55" t="s">
        <v>39</v>
      </c>
      <c r="E55" t="s">
        <v>55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51</v>
      </c>
      <c r="M55" t="s">
        <v>23</v>
      </c>
    </row>
    <row r="56" spans="1:13">
      <c r="A56" t="s">
        <v>111</v>
      </c>
      <c r="B56" t="s">
        <v>38</v>
      </c>
      <c r="C56">
        <v>45460</v>
      </c>
      <c r="D56" t="s">
        <v>44</v>
      </c>
      <c r="E56" t="s">
        <v>49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33</v>
      </c>
      <c r="M56" t="s">
        <v>34</v>
      </c>
    </row>
    <row r="57" spans="1:13">
      <c r="A57" t="s">
        <v>112</v>
      </c>
      <c r="B57" t="s">
        <v>38</v>
      </c>
      <c r="C57">
        <v>45644</v>
      </c>
      <c r="D57" t="s">
        <v>39</v>
      </c>
      <c r="E57" t="s">
        <v>40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51</v>
      </c>
      <c r="M57" t="s">
        <v>28</v>
      </c>
    </row>
    <row r="58" spans="1:13">
      <c r="A58" t="s">
        <v>113</v>
      </c>
      <c r="B58" t="s">
        <v>14</v>
      </c>
      <c r="C58">
        <v>45586</v>
      </c>
      <c r="D58" t="s">
        <v>59</v>
      </c>
      <c r="E58" t="s">
        <v>99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27</v>
      </c>
      <c r="M58" t="s">
        <v>18</v>
      </c>
    </row>
    <row r="59" spans="1:13">
      <c r="A59" t="s">
        <v>114</v>
      </c>
      <c r="B59" t="s">
        <v>30</v>
      </c>
      <c r="C59">
        <v>45762</v>
      </c>
      <c r="D59" t="s">
        <v>15</v>
      </c>
      <c r="E59" t="s">
        <v>64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27</v>
      </c>
      <c r="M59" t="s">
        <v>34</v>
      </c>
    </row>
    <row r="60" spans="1:13">
      <c r="A60" t="s">
        <v>115</v>
      </c>
      <c r="B60" t="s">
        <v>30</v>
      </c>
      <c r="C60">
        <v>45465</v>
      </c>
      <c r="D60" t="s">
        <v>20</v>
      </c>
      <c r="E60" t="s">
        <v>82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33</v>
      </c>
    </row>
    <row r="61" spans="1:13">
      <c r="A61" t="s">
        <v>116</v>
      </c>
      <c r="B61" t="s">
        <v>30</v>
      </c>
      <c r="C61">
        <v>45685</v>
      </c>
      <c r="D61" t="s">
        <v>59</v>
      </c>
      <c r="E61" t="s">
        <v>66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117</v>
      </c>
      <c r="M61" t="s">
        <v>28</v>
      </c>
    </row>
    <row r="62" spans="1:13">
      <c r="A62" t="s">
        <v>118</v>
      </c>
      <c r="B62" t="s">
        <v>14</v>
      </c>
      <c r="C62">
        <v>45540</v>
      </c>
      <c r="D62" t="s">
        <v>59</v>
      </c>
      <c r="E62" t="s">
        <v>99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27</v>
      </c>
      <c r="M62" t="s">
        <v>18</v>
      </c>
    </row>
    <row r="63" spans="1:13">
      <c r="A63" t="s">
        <v>119</v>
      </c>
      <c r="B63" t="s">
        <v>14</v>
      </c>
      <c r="C63">
        <v>45618</v>
      </c>
      <c r="D63" t="s">
        <v>39</v>
      </c>
      <c r="E63" t="s">
        <v>42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27</v>
      </c>
      <c r="M63" t="s">
        <v>28</v>
      </c>
    </row>
    <row r="64" spans="1:13">
      <c r="A64" t="s">
        <v>120</v>
      </c>
      <c r="B64" t="s">
        <v>14</v>
      </c>
      <c r="C64">
        <v>45504</v>
      </c>
      <c r="D64" t="s">
        <v>39</v>
      </c>
      <c r="E64" t="s">
        <v>42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51</v>
      </c>
      <c r="M64" t="s">
        <v>28</v>
      </c>
    </row>
    <row r="65" spans="1:13">
      <c r="A65" t="s">
        <v>121</v>
      </c>
      <c r="B65" t="s">
        <v>38</v>
      </c>
      <c r="C65">
        <v>45521</v>
      </c>
      <c r="D65" t="s">
        <v>44</v>
      </c>
      <c r="E65" t="s">
        <v>49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51</v>
      </c>
      <c r="M65" t="s">
        <v>28</v>
      </c>
    </row>
    <row r="66" spans="1:13">
      <c r="A66" t="s">
        <v>122</v>
      </c>
      <c r="B66" t="s">
        <v>30</v>
      </c>
      <c r="C66">
        <v>45744</v>
      </c>
      <c r="D66" t="s">
        <v>31</v>
      </c>
      <c r="E66" t="s">
        <v>32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33</v>
      </c>
    </row>
    <row r="67" spans="1:13">
      <c r="A67" t="s">
        <v>123</v>
      </c>
      <c r="B67" t="s">
        <v>14</v>
      </c>
      <c r="C67">
        <v>45499</v>
      </c>
      <c r="D67" t="s">
        <v>39</v>
      </c>
      <c r="E67" t="s">
        <v>42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33</v>
      </c>
      <c r="M67" t="s">
        <v>18</v>
      </c>
    </row>
    <row r="68" spans="1:13">
      <c r="A68" t="s">
        <v>124</v>
      </c>
      <c r="B68" t="s">
        <v>38</v>
      </c>
      <c r="C68">
        <v>45745</v>
      </c>
      <c r="D68" t="s">
        <v>39</v>
      </c>
      <c r="E68" t="s">
        <v>40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33</v>
      </c>
      <c r="M68" t="s">
        <v>28</v>
      </c>
    </row>
    <row r="69" spans="1:13">
      <c r="A69" t="s">
        <v>125</v>
      </c>
      <c r="B69" t="s">
        <v>30</v>
      </c>
      <c r="C69">
        <v>45634</v>
      </c>
      <c r="D69" t="s">
        <v>31</v>
      </c>
      <c r="E69" t="s">
        <v>32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33</v>
      </c>
    </row>
    <row r="70" spans="1:13">
      <c r="A70" t="s">
        <v>126</v>
      </c>
      <c r="B70" t="s">
        <v>14</v>
      </c>
      <c r="C70">
        <v>45724</v>
      </c>
      <c r="D70" t="s">
        <v>20</v>
      </c>
      <c r="E70" t="s">
        <v>21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51</v>
      </c>
      <c r="M70" t="s">
        <v>28</v>
      </c>
    </row>
    <row r="71" spans="1:13">
      <c r="A71" t="s">
        <v>127</v>
      </c>
      <c r="B71" t="s">
        <v>38</v>
      </c>
      <c r="C71">
        <v>45749</v>
      </c>
      <c r="D71" t="s">
        <v>59</v>
      </c>
      <c r="E71" t="s">
        <v>60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27</v>
      </c>
    </row>
    <row r="72" spans="1:13">
      <c r="A72" t="s">
        <v>128</v>
      </c>
      <c r="B72" t="s">
        <v>25</v>
      </c>
      <c r="C72">
        <v>45537</v>
      </c>
      <c r="D72" t="s">
        <v>39</v>
      </c>
      <c r="E72" t="s">
        <v>55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27</v>
      </c>
      <c r="M72" t="s">
        <v>23</v>
      </c>
    </row>
    <row r="73" spans="1:13">
      <c r="A73" t="s">
        <v>129</v>
      </c>
      <c r="B73" t="s">
        <v>25</v>
      </c>
      <c r="C73">
        <v>45719</v>
      </c>
      <c r="D73" t="s">
        <v>15</v>
      </c>
      <c r="E73" t="s">
        <v>26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33</v>
      </c>
      <c r="M73" t="s">
        <v>23</v>
      </c>
    </row>
    <row r="74" spans="1:13">
      <c r="A74" t="s">
        <v>130</v>
      </c>
      <c r="B74" t="s">
        <v>38</v>
      </c>
      <c r="C74">
        <v>45583</v>
      </c>
      <c r="D74" t="s">
        <v>31</v>
      </c>
      <c r="E74" t="s">
        <v>57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51</v>
      </c>
      <c r="M74" t="s">
        <v>34</v>
      </c>
    </row>
    <row r="75" spans="1:13">
      <c r="A75" t="s">
        <v>131</v>
      </c>
      <c r="B75" t="s">
        <v>25</v>
      </c>
      <c r="C75">
        <v>45593</v>
      </c>
      <c r="D75" t="s">
        <v>15</v>
      </c>
      <c r="E75" t="s">
        <v>26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27</v>
      </c>
      <c r="M75" t="s">
        <v>28</v>
      </c>
    </row>
    <row r="76" spans="1:13">
      <c r="A76" t="s">
        <v>132</v>
      </c>
      <c r="B76" t="s">
        <v>30</v>
      </c>
      <c r="C76">
        <v>45505</v>
      </c>
      <c r="D76" t="s">
        <v>15</v>
      </c>
      <c r="E76" t="s">
        <v>64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27</v>
      </c>
      <c r="M76" t="s">
        <v>34</v>
      </c>
    </row>
    <row r="77" spans="1:13">
      <c r="A77" t="s">
        <v>133</v>
      </c>
      <c r="B77" t="s">
        <v>14</v>
      </c>
      <c r="C77">
        <v>45603</v>
      </c>
      <c r="D77" t="s">
        <v>31</v>
      </c>
      <c r="E77" t="s">
        <v>102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27</v>
      </c>
      <c r="M77" t="s">
        <v>34</v>
      </c>
    </row>
    <row r="78" spans="1:13">
      <c r="A78" t="s">
        <v>134</v>
      </c>
      <c r="B78" t="s">
        <v>38</v>
      </c>
      <c r="C78">
        <v>45720</v>
      </c>
      <c r="D78" t="s">
        <v>31</v>
      </c>
      <c r="E78" t="s">
        <v>57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27</v>
      </c>
    </row>
    <row r="79" spans="1:13">
      <c r="A79" t="s">
        <v>135</v>
      </c>
      <c r="B79" t="s">
        <v>14</v>
      </c>
      <c r="C79">
        <v>45460</v>
      </c>
      <c r="D79" t="s">
        <v>44</v>
      </c>
      <c r="E79" t="s">
        <v>92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51</v>
      </c>
      <c r="M79" t="s">
        <v>34</v>
      </c>
    </row>
    <row r="80" spans="1:13">
      <c r="A80" t="s">
        <v>136</v>
      </c>
      <c r="B80" t="s">
        <v>30</v>
      </c>
      <c r="C80">
        <v>45574</v>
      </c>
      <c r="D80" t="s">
        <v>39</v>
      </c>
      <c r="E80" t="s">
        <v>68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33</v>
      </c>
      <c r="M80" t="s">
        <v>23</v>
      </c>
    </row>
    <row r="81" spans="1:13">
      <c r="A81" t="s">
        <v>137</v>
      </c>
      <c r="B81" t="s">
        <v>30</v>
      </c>
      <c r="C81">
        <v>45456</v>
      </c>
      <c r="D81" t="s">
        <v>31</v>
      </c>
      <c r="E81" t="s">
        <v>32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51</v>
      </c>
    </row>
    <row r="82" spans="1:13">
      <c r="A82" t="s">
        <v>138</v>
      </c>
      <c r="B82" t="s">
        <v>30</v>
      </c>
      <c r="C82">
        <v>45584</v>
      </c>
      <c r="D82" t="s">
        <v>31</v>
      </c>
      <c r="E82" t="s">
        <v>32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27</v>
      </c>
      <c r="M82" t="s">
        <v>28</v>
      </c>
    </row>
    <row r="83" spans="1:13">
      <c r="A83" t="s">
        <v>139</v>
      </c>
      <c r="B83" t="s">
        <v>30</v>
      </c>
      <c r="C83">
        <v>45497</v>
      </c>
      <c r="D83" t="s">
        <v>44</v>
      </c>
      <c r="E83" t="s">
        <v>140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141</v>
      </c>
      <c r="M83" t="s">
        <v>28</v>
      </c>
    </row>
    <row r="84" spans="1:13">
      <c r="A84" t="s">
        <v>142</v>
      </c>
      <c r="B84" t="s">
        <v>25</v>
      </c>
      <c r="C84">
        <v>45580</v>
      </c>
      <c r="D84" t="s">
        <v>59</v>
      </c>
      <c r="E84" t="s">
        <v>143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33</v>
      </c>
    </row>
    <row r="85" spans="1:13">
      <c r="A85" t="s">
        <v>144</v>
      </c>
      <c r="B85" t="s">
        <v>38</v>
      </c>
      <c r="C85">
        <v>45635</v>
      </c>
      <c r="D85" t="s">
        <v>44</v>
      </c>
      <c r="E85" t="s">
        <v>49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51</v>
      </c>
      <c r="M85" t="s">
        <v>34</v>
      </c>
    </row>
    <row r="86" spans="1:13">
      <c r="A86" t="s">
        <v>145</v>
      </c>
      <c r="B86" t="s">
        <v>30</v>
      </c>
      <c r="C86">
        <v>45766</v>
      </c>
      <c r="D86" t="s">
        <v>44</v>
      </c>
      <c r="E86" t="s">
        <v>140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51</v>
      </c>
      <c r="M86" t="s">
        <v>18</v>
      </c>
    </row>
    <row r="87" spans="1:13">
      <c r="A87" t="s">
        <v>146</v>
      </c>
      <c r="B87" t="s">
        <v>25</v>
      </c>
      <c r="C87">
        <v>45684</v>
      </c>
      <c r="D87" t="s">
        <v>20</v>
      </c>
      <c r="E87" t="s">
        <v>77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109</v>
      </c>
      <c r="M87" t="s">
        <v>34</v>
      </c>
    </row>
    <row r="88" spans="1:13">
      <c r="A88" t="s">
        <v>147</v>
      </c>
      <c r="B88" t="s">
        <v>14</v>
      </c>
      <c r="C88">
        <v>45449</v>
      </c>
      <c r="D88" t="s">
        <v>59</v>
      </c>
      <c r="E88" t="s">
        <v>99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51</v>
      </c>
      <c r="M88" t="s">
        <v>28</v>
      </c>
    </row>
    <row r="89" spans="1:13">
      <c r="A89" t="s">
        <v>148</v>
      </c>
      <c r="B89" t="s">
        <v>38</v>
      </c>
      <c r="C89">
        <v>45480</v>
      </c>
      <c r="D89" t="s">
        <v>31</v>
      </c>
      <c r="E89" t="s">
        <v>57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27</v>
      </c>
      <c r="M89" t="s">
        <v>34</v>
      </c>
    </row>
    <row r="90" spans="1:13">
      <c r="A90" t="s">
        <v>149</v>
      </c>
      <c r="B90" t="s">
        <v>14</v>
      </c>
      <c r="C90">
        <v>45667</v>
      </c>
      <c r="D90" t="s">
        <v>44</v>
      </c>
      <c r="E90" t="s">
        <v>92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33</v>
      </c>
    </row>
    <row r="91" spans="1:13">
      <c r="A91" t="s">
        <v>150</v>
      </c>
      <c r="B91" t="s">
        <v>30</v>
      </c>
      <c r="C91">
        <v>45446</v>
      </c>
      <c r="D91" t="s">
        <v>44</v>
      </c>
      <c r="E91" t="s">
        <v>140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27</v>
      </c>
      <c r="M91" t="s">
        <v>34</v>
      </c>
    </row>
    <row r="92" spans="1:13">
      <c r="A92" t="s">
        <v>151</v>
      </c>
      <c r="B92" t="s">
        <v>38</v>
      </c>
      <c r="C92">
        <v>45740</v>
      </c>
      <c r="D92" t="s">
        <v>44</v>
      </c>
      <c r="E92" t="s">
        <v>49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33</v>
      </c>
      <c r="M92" t="s">
        <v>34</v>
      </c>
    </row>
    <row r="93" spans="1:13">
      <c r="A93" t="s">
        <v>152</v>
      </c>
      <c r="B93" t="s">
        <v>14</v>
      </c>
      <c r="C93">
        <v>45586</v>
      </c>
      <c r="D93" t="s">
        <v>31</v>
      </c>
      <c r="E93" t="s">
        <v>102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51</v>
      </c>
      <c r="M93" t="s">
        <v>28</v>
      </c>
    </row>
    <row r="94" spans="1:13">
      <c r="A94" t="s">
        <v>153</v>
      </c>
      <c r="B94" t="s">
        <v>30</v>
      </c>
      <c r="C94">
        <v>45637</v>
      </c>
      <c r="D94" t="s">
        <v>59</v>
      </c>
      <c r="E94" t="s">
        <v>66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33</v>
      </c>
      <c r="M94" t="s">
        <v>28</v>
      </c>
    </row>
    <row r="95" spans="1:13">
      <c r="A95" t="s">
        <v>154</v>
      </c>
      <c r="B95" t="s">
        <v>30</v>
      </c>
      <c r="C95">
        <v>45603</v>
      </c>
      <c r="D95" t="s">
        <v>44</v>
      </c>
      <c r="E95" t="s">
        <v>140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51</v>
      </c>
      <c r="M95" t="s">
        <v>28</v>
      </c>
    </row>
    <row r="96" spans="1:13">
      <c r="A96" t="s">
        <v>155</v>
      </c>
      <c r="B96" t="s">
        <v>30</v>
      </c>
      <c r="C96">
        <v>45604</v>
      </c>
      <c r="D96" t="s">
        <v>20</v>
      </c>
      <c r="E96" t="s">
        <v>82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51</v>
      </c>
      <c r="M96" t="s">
        <v>34</v>
      </c>
    </row>
    <row r="97" spans="1:13">
      <c r="A97" t="s">
        <v>156</v>
      </c>
      <c r="B97" t="s">
        <v>14</v>
      </c>
      <c r="C97">
        <v>45545</v>
      </c>
      <c r="D97" t="s">
        <v>44</v>
      </c>
      <c r="E97" t="s">
        <v>92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51</v>
      </c>
    </row>
    <row r="98" spans="1:13">
      <c r="A98" t="s">
        <v>157</v>
      </c>
      <c r="B98" t="s">
        <v>30</v>
      </c>
      <c r="C98">
        <v>45517</v>
      </c>
      <c r="D98" t="s">
        <v>44</v>
      </c>
      <c r="E98" t="s">
        <v>140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72</v>
      </c>
      <c r="M98" t="s">
        <v>23</v>
      </c>
    </row>
    <row r="99" spans="1:13">
      <c r="A99" t="s">
        <v>158</v>
      </c>
      <c r="B99" t="s">
        <v>14</v>
      </c>
      <c r="C99">
        <v>45453</v>
      </c>
      <c r="D99" t="s">
        <v>31</v>
      </c>
      <c r="E99" t="s">
        <v>102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51</v>
      </c>
      <c r="M99" t="s">
        <v>34</v>
      </c>
    </row>
    <row r="100" spans="1:13">
      <c r="A100" t="s">
        <v>159</v>
      </c>
      <c r="B100" t="s">
        <v>25</v>
      </c>
      <c r="C100">
        <v>45475</v>
      </c>
      <c r="D100" t="s">
        <v>39</v>
      </c>
      <c r="E100" t="s">
        <v>55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51</v>
      </c>
      <c r="M100" t="s">
        <v>28</v>
      </c>
    </row>
    <row r="101" spans="1:13">
      <c r="A101" t="s">
        <v>160</v>
      </c>
      <c r="B101" t="s">
        <v>25</v>
      </c>
      <c r="C101">
        <v>45698</v>
      </c>
      <c r="D101" t="s">
        <v>59</v>
      </c>
      <c r="E101" t="s">
        <v>143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33</v>
      </c>
    </row>
    <row r="102" spans="1:13">
      <c r="A102" t="s">
        <v>161</v>
      </c>
      <c r="B102" t="s">
        <v>25</v>
      </c>
      <c r="C102">
        <v>45583</v>
      </c>
      <c r="D102" t="s">
        <v>59</v>
      </c>
      <c r="E102" t="s">
        <v>143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51</v>
      </c>
      <c r="M102" t="s">
        <v>28</v>
      </c>
    </row>
    <row r="103" spans="1:13">
      <c r="A103" t="s">
        <v>162</v>
      </c>
      <c r="B103" t="s">
        <v>14</v>
      </c>
      <c r="C103">
        <v>45553</v>
      </c>
      <c r="D103" t="s">
        <v>15</v>
      </c>
      <c r="E103" t="s">
        <v>16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33</v>
      </c>
      <c r="M103" t="s">
        <v>23</v>
      </c>
    </row>
    <row r="104" spans="1:13">
      <c r="A104" t="s">
        <v>163</v>
      </c>
      <c r="B104" t="s">
        <v>38</v>
      </c>
      <c r="C104">
        <v>45454</v>
      </c>
      <c r="D104" t="s">
        <v>44</v>
      </c>
      <c r="E104" t="s">
        <v>49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33</v>
      </c>
      <c r="M104" t="s">
        <v>23</v>
      </c>
    </row>
    <row r="105" spans="1:13">
      <c r="A105" t="s">
        <v>164</v>
      </c>
      <c r="B105" t="s">
        <v>25</v>
      </c>
      <c r="C105">
        <v>45739</v>
      </c>
      <c r="D105" t="s">
        <v>31</v>
      </c>
      <c r="E105" t="s">
        <v>105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27</v>
      </c>
      <c r="M105" t="s">
        <v>28</v>
      </c>
    </row>
    <row r="106" spans="1:13">
      <c r="A106" t="s">
        <v>165</v>
      </c>
      <c r="B106" t="s">
        <v>30</v>
      </c>
      <c r="C106">
        <v>45457</v>
      </c>
      <c r="D106" t="s">
        <v>39</v>
      </c>
      <c r="E106" t="s">
        <v>68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51</v>
      </c>
      <c r="M106" t="s">
        <v>18</v>
      </c>
    </row>
    <row r="107" spans="1:13">
      <c r="A107" t="s">
        <v>166</v>
      </c>
      <c r="B107" t="s">
        <v>30</v>
      </c>
      <c r="C107">
        <v>45692</v>
      </c>
      <c r="D107" t="s">
        <v>44</v>
      </c>
      <c r="E107" t="s">
        <v>140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27</v>
      </c>
      <c r="M107" t="s">
        <v>34</v>
      </c>
    </row>
    <row r="108" spans="1:13">
      <c r="A108" t="s">
        <v>167</v>
      </c>
      <c r="B108" t="s">
        <v>25</v>
      </c>
      <c r="C108">
        <v>45464</v>
      </c>
      <c r="D108" t="s">
        <v>44</v>
      </c>
      <c r="E108" t="s">
        <v>45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27</v>
      </c>
    </row>
    <row r="109" spans="1:13">
      <c r="A109" t="s">
        <v>168</v>
      </c>
      <c r="B109" t="s">
        <v>14</v>
      </c>
      <c r="C109">
        <v>45741</v>
      </c>
      <c r="D109" t="s">
        <v>59</v>
      </c>
      <c r="E109" t="s">
        <v>99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27</v>
      </c>
      <c r="M109" t="s">
        <v>23</v>
      </c>
    </row>
    <row r="110" spans="1:13">
      <c r="A110" t="s">
        <v>169</v>
      </c>
      <c r="B110" t="s">
        <v>14</v>
      </c>
      <c r="C110">
        <v>45512</v>
      </c>
      <c r="D110" t="s">
        <v>31</v>
      </c>
      <c r="E110" t="s">
        <v>102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51</v>
      </c>
      <c r="M110" t="s">
        <v>28</v>
      </c>
    </row>
    <row r="111" spans="1:13">
      <c r="A111" t="s">
        <v>170</v>
      </c>
      <c r="B111" t="s">
        <v>30</v>
      </c>
      <c r="C111">
        <v>45502</v>
      </c>
      <c r="D111" t="s">
        <v>15</v>
      </c>
      <c r="E111" t="s">
        <v>64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33</v>
      </c>
      <c r="M111" t="s">
        <v>23</v>
      </c>
    </row>
    <row r="112" spans="1:13">
      <c r="A112" t="s">
        <v>171</v>
      </c>
      <c r="B112" t="s">
        <v>25</v>
      </c>
      <c r="C112">
        <v>45619</v>
      </c>
      <c r="D112" t="s">
        <v>44</v>
      </c>
      <c r="E112" t="s">
        <v>45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27</v>
      </c>
      <c r="M112" t="s">
        <v>23</v>
      </c>
    </row>
    <row r="113" spans="1:13">
      <c r="A113" t="s">
        <v>172</v>
      </c>
      <c r="B113" t="s">
        <v>14</v>
      </c>
      <c r="C113">
        <v>45570</v>
      </c>
      <c r="D113" t="s">
        <v>31</v>
      </c>
      <c r="E113" t="s">
        <v>102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51</v>
      </c>
      <c r="M113" t="s">
        <v>28</v>
      </c>
    </row>
    <row r="114" spans="1:13">
      <c r="A114" t="s">
        <v>173</v>
      </c>
      <c r="B114" t="s">
        <v>14</v>
      </c>
      <c r="C114">
        <v>45567</v>
      </c>
      <c r="D114" t="s">
        <v>39</v>
      </c>
      <c r="E114" t="s">
        <v>42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33</v>
      </c>
      <c r="M114" t="s">
        <v>18</v>
      </c>
    </row>
    <row r="115" spans="1:13">
      <c r="A115" t="s">
        <v>174</v>
      </c>
      <c r="B115" t="s">
        <v>14</v>
      </c>
      <c r="C115">
        <v>45610</v>
      </c>
      <c r="D115" t="s">
        <v>31</v>
      </c>
      <c r="E115" t="s">
        <v>102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51</v>
      </c>
      <c r="M115" t="s">
        <v>18</v>
      </c>
    </row>
    <row r="116" spans="1:13">
      <c r="A116" t="s">
        <v>175</v>
      </c>
      <c r="B116" t="s">
        <v>14</v>
      </c>
      <c r="C116">
        <v>45788</v>
      </c>
      <c r="D116" t="s">
        <v>44</v>
      </c>
      <c r="E116" t="s">
        <v>92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72</v>
      </c>
      <c r="M116" t="s">
        <v>34</v>
      </c>
    </row>
    <row r="117" spans="1:13">
      <c r="A117" t="s">
        <v>176</v>
      </c>
      <c r="B117" t="s">
        <v>25</v>
      </c>
      <c r="C117">
        <v>45734</v>
      </c>
      <c r="D117" t="s">
        <v>15</v>
      </c>
      <c r="E117" t="s">
        <v>26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27</v>
      </c>
    </row>
    <row r="118" spans="1:13">
      <c r="A118" t="s">
        <v>177</v>
      </c>
      <c r="B118" t="s">
        <v>14</v>
      </c>
      <c r="C118">
        <v>45600</v>
      </c>
      <c r="D118" t="s">
        <v>44</v>
      </c>
      <c r="E118" t="s">
        <v>92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33</v>
      </c>
      <c r="M118" t="s">
        <v>34</v>
      </c>
    </row>
    <row r="119" spans="1:13">
      <c r="A119" t="s">
        <v>178</v>
      </c>
      <c r="B119" t="s">
        <v>38</v>
      </c>
      <c r="C119">
        <v>45600</v>
      </c>
      <c r="D119" t="s">
        <v>44</v>
      </c>
      <c r="E119" t="s">
        <v>49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51</v>
      </c>
      <c r="M119" t="s">
        <v>28</v>
      </c>
    </row>
    <row r="120" spans="1:13">
      <c r="A120" t="s">
        <v>179</v>
      </c>
      <c r="B120" t="s">
        <v>30</v>
      </c>
      <c r="C120">
        <v>45695</v>
      </c>
      <c r="D120" t="s">
        <v>15</v>
      </c>
      <c r="E120" t="s">
        <v>64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51</v>
      </c>
    </row>
    <row r="121" spans="1:13">
      <c r="A121" t="s">
        <v>180</v>
      </c>
      <c r="B121" t="s">
        <v>38</v>
      </c>
      <c r="C121">
        <v>45586</v>
      </c>
      <c r="D121" t="s">
        <v>31</v>
      </c>
      <c r="E121" t="s">
        <v>57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33</v>
      </c>
      <c r="M121" t="s">
        <v>28</v>
      </c>
    </row>
    <row r="122" spans="1:13">
      <c r="A122" t="s">
        <v>181</v>
      </c>
      <c r="B122" t="s">
        <v>30</v>
      </c>
      <c r="C122">
        <v>45502</v>
      </c>
      <c r="D122" t="s">
        <v>31</v>
      </c>
      <c r="E122" t="s">
        <v>32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51</v>
      </c>
    </row>
    <row r="123" spans="1:13">
      <c r="A123" t="s">
        <v>182</v>
      </c>
      <c r="B123" t="s">
        <v>30</v>
      </c>
      <c r="C123">
        <v>45567</v>
      </c>
      <c r="D123" t="s">
        <v>20</v>
      </c>
      <c r="E123" t="s">
        <v>82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33</v>
      </c>
      <c r="M123" t="s">
        <v>23</v>
      </c>
    </row>
    <row r="124" spans="1:13">
      <c r="A124" t="s">
        <v>183</v>
      </c>
      <c r="B124" t="s">
        <v>30</v>
      </c>
      <c r="C124">
        <v>45457</v>
      </c>
      <c r="D124" t="s">
        <v>31</v>
      </c>
      <c r="E124" t="s">
        <v>32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33</v>
      </c>
      <c r="M124" t="s">
        <v>18</v>
      </c>
    </row>
    <row r="125" spans="1:13">
      <c r="A125" t="s">
        <v>184</v>
      </c>
      <c r="B125" t="s">
        <v>25</v>
      </c>
      <c r="C125">
        <v>45753</v>
      </c>
      <c r="D125" t="s">
        <v>39</v>
      </c>
      <c r="E125" t="s">
        <v>55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33</v>
      </c>
      <c r="M125" t="s">
        <v>18</v>
      </c>
    </row>
    <row r="126" spans="1:13">
      <c r="A126" t="s">
        <v>185</v>
      </c>
      <c r="B126" t="s">
        <v>14</v>
      </c>
      <c r="C126">
        <v>45543</v>
      </c>
      <c r="D126" t="s">
        <v>39</v>
      </c>
      <c r="E126" t="s">
        <v>42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27</v>
      </c>
      <c r="M126" t="s">
        <v>34</v>
      </c>
    </row>
    <row r="127" spans="1:13">
      <c r="A127" t="s">
        <v>186</v>
      </c>
      <c r="B127" t="s">
        <v>30</v>
      </c>
      <c r="C127">
        <v>45744</v>
      </c>
      <c r="D127" t="s">
        <v>39</v>
      </c>
      <c r="E127" t="s">
        <v>68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51</v>
      </c>
    </row>
    <row r="128" spans="1:13">
      <c r="A128" t="s">
        <v>187</v>
      </c>
      <c r="B128" t="s">
        <v>38</v>
      </c>
      <c r="C128">
        <v>45684</v>
      </c>
      <c r="D128" t="s">
        <v>15</v>
      </c>
      <c r="E128" t="s">
        <v>53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51</v>
      </c>
      <c r="M128" t="s">
        <v>28</v>
      </c>
    </row>
    <row r="129" spans="1:13">
      <c r="A129" t="s">
        <v>188</v>
      </c>
      <c r="B129" t="s">
        <v>14</v>
      </c>
      <c r="C129">
        <v>45667</v>
      </c>
      <c r="D129" t="s">
        <v>44</v>
      </c>
      <c r="E129" t="s">
        <v>92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51</v>
      </c>
    </row>
    <row r="130" spans="1:13">
      <c r="A130" t="s">
        <v>189</v>
      </c>
      <c r="B130" t="s">
        <v>14</v>
      </c>
      <c r="C130">
        <v>45494</v>
      </c>
      <c r="D130" t="s">
        <v>20</v>
      </c>
      <c r="E130" t="s">
        <v>21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27</v>
      </c>
    </row>
    <row r="131" spans="1:13">
      <c r="A131" t="s">
        <v>190</v>
      </c>
      <c r="B131" t="s">
        <v>25</v>
      </c>
      <c r="C131">
        <v>45564</v>
      </c>
      <c r="D131" t="s">
        <v>15</v>
      </c>
      <c r="E131" t="s">
        <v>26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33</v>
      </c>
      <c r="M131" t="s">
        <v>34</v>
      </c>
    </row>
    <row r="132" spans="1:13">
      <c r="A132" t="s">
        <v>191</v>
      </c>
      <c r="B132" t="s">
        <v>30</v>
      </c>
      <c r="C132">
        <v>45586</v>
      </c>
      <c r="D132" t="s">
        <v>15</v>
      </c>
      <c r="E132" t="s">
        <v>64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51</v>
      </c>
      <c r="M132" t="s">
        <v>28</v>
      </c>
    </row>
    <row r="133" spans="1:13">
      <c r="A133" t="s">
        <v>192</v>
      </c>
      <c r="B133" t="s">
        <v>30</v>
      </c>
      <c r="C133">
        <v>45720</v>
      </c>
      <c r="D133" t="s">
        <v>31</v>
      </c>
      <c r="E133" t="s">
        <v>32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51</v>
      </c>
      <c r="M133" t="s">
        <v>23</v>
      </c>
    </row>
    <row r="134" spans="1:13">
      <c r="A134" t="s">
        <v>193</v>
      </c>
      <c r="B134" t="s">
        <v>38</v>
      </c>
      <c r="C134">
        <v>45694</v>
      </c>
      <c r="D134" t="s">
        <v>44</v>
      </c>
      <c r="E134" t="s">
        <v>49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27</v>
      </c>
      <c r="M134" t="s">
        <v>34</v>
      </c>
    </row>
    <row r="135" spans="1:13">
      <c r="A135" t="s">
        <v>194</v>
      </c>
      <c r="B135" t="s">
        <v>14</v>
      </c>
      <c r="C135">
        <v>45771</v>
      </c>
      <c r="D135" t="s">
        <v>15</v>
      </c>
      <c r="E135" t="s">
        <v>16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27</v>
      </c>
      <c r="M135" t="s">
        <v>18</v>
      </c>
    </row>
    <row r="136" spans="1:13">
      <c r="A136" t="s">
        <v>195</v>
      </c>
      <c r="B136" t="s">
        <v>38</v>
      </c>
      <c r="C136">
        <v>45624</v>
      </c>
      <c r="D136" t="s">
        <v>20</v>
      </c>
      <c r="E136" t="s">
        <v>47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51</v>
      </c>
      <c r="M136" t="s">
        <v>34</v>
      </c>
    </row>
    <row r="137" spans="1:13">
      <c r="A137" t="s">
        <v>196</v>
      </c>
      <c r="B137" t="s">
        <v>30</v>
      </c>
      <c r="C137">
        <v>45484</v>
      </c>
      <c r="D137" t="s">
        <v>20</v>
      </c>
      <c r="E137" t="s">
        <v>82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33</v>
      </c>
      <c r="M137" t="s">
        <v>34</v>
      </c>
    </row>
    <row r="138" spans="1:13">
      <c r="A138" t="s">
        <v>197</v>
      </c>
      <c r="B138" t="s">
        <v>38</v>
      </c>
      <c r="C138">
        <v>45504</v>
      </c>
      <c r="D138" t="s">
        <v>59</v>
      </c>
      <c r="E138" t="s">
        <v>60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51</v>
      </c>
    </row>
    <row r="139" spans="1:13">
      <c r="A139" t="s">
        <v>198</v>
      </c>
      <c r="B139" t="s">
        <v>14</v>
      </c>
      <c r="C139">
        <v>45745</v>
      </c>
      <c r="D139" t="s">
        <v>44</v>
      </c>
      <c r="E139" t="s">
        <v>92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51</v>
      </c>
      <c r="M139" t="s">
        <v>28</v>
      </c>
    </row>
    <row r="140" spans="1:13">
      <c r="A140" t="s">
        <v>199</v>
      </c>
      <c r="B140" t="s">
        <v>25</v>
      </c>
      <c r="C140">
        <v>45594</v>
      </c>
      <c r="D140" t="s">
        <v>20</v>
      </c>
      <c r="E140" t="s">
        <v>77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33</v>
      </c>
      <c r="M140" t="s">
        <v>18</v>
      </c>
    </row>
    <row r="141" spans="1:13">
      <c r="A141" t="s">
        <v>200</v>
      </c>
      <c r="B141" t="s">
        <v>38</v>
      </c>
      <c r="C141">
        <v>45488</v>
      </c>
      <c r="D141" t="s">
        <v>44</v>
      </c>
      <c r="E141" t="s">
        <v>49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201</v>
      </c>
      <c r="M141" t="s">
        <v>23</v>
      </c>
    </row>
    <row r="142" spans="1:13">
      <c r="A142" t="s">
        <v>202</v>
      </c>
      <c r="B142" t="s">
        <v>14</v>
      </c>
      <c r="C142">
        <v>45535</v>
      </c>
      <c r="D142" t="s">
        <v>44</v>
      </c>
      <c r="E142" t="s">
        <v>92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51</v>
      </c>
    </row>
    <row r="143" spans="1:13">
      <c r="A143" t="s">
        <v>203</v>
      </c>
      <c r="B143" t="s">
        <v>25</v>
      </c>
      <c r="C143">
        <v>45741</v>
      </c>
      <c r="D143" t="s">
        <v>31</v>
      </c>
      <c r="E143" t="s">
        <v>105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51</v>
      </c>
      <c r="M143" t="s">
        <v>34</v>
      </c>
    </row>
    <row r="144" spans="1:13">
      <c r="A144" t="s">
        <v>204</v>
      </c>
      <c r="B144" t="s">
        <v>25</v>
      </c>
      <c r="C144">
        <v>45567</v>
      </c>
      <c r="D144" t="s">
        <v>39</v>
      </c>
      <c r="E144" t="s">
        <v>55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27</v>
      </c>
      <c r="M144" t="s">
        <v>28</v>
      </c>
    </row>
    <row r="145" spans="1:13">
      <c r="A145" t="s">
        <v>205</v>
      </c>
      <c r="B145" t="s">
        <v>25</v>
      </c>
      <c r="C145">
        <v>45593</v>
      </c>
      <c r="D145" t="s">
        <v>31</v>
      </c>
      <c r="E145" t="s">
        <v>105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33</v>
      </c>
      <c r="M145" t="s">
        <v>34</v>
      </c>
    </row>
    <row r="146" spans="1:13">
      <c r="A146" t="s">
        <v>206</v>
      </c>
      <c r="B146" t="s">
        <v>30</v>
      </c>
      <c r="C146">
        <v>45516</v>
      </c>
      <c r="D146" t="s">
        <v>39</v>
      </c>
      <c r="E146" t="s">
        <v>68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27</v>
      </c>
      <c r="M146" t="s">
        <v>34</v>
      </c>
    </row>
    <row r="147" spans="1:13">
      <c r="A147" t="s">
        <v>207</v>
      </c>
      <c r="B147" t="s">
        <v>25</v>
      </c>
      <c r="C147">
        <v>45448</v>
      </c>
      <c r="D147" t="s">
        <v>15</v>
      </c>
      <c r="E147" t="s">
        <v>26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208</v>
      </c>
    </row>
    <row r="148" spans="1:13">
      <c r="A148" t="s">
        <v>209</v>
      </c>
      <c r="B148" t="s">
        <v>30</v>
      </c>
      <c r="C148">
        <v>45586</v>
      </c>
      <c r="D148" t="s">
        <v>15</v>
      </c>
      <c r="E148" t="s">
        <v>64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27</v>
      </c>
      <c r="M148" t="s">
        <v>23</v>
      </c>
    </row>
    <row r="149" spans="1:13">
      <c r="A149" t="s">
        <v>210</v>
      </c>
      <c r="B149" t="s">
        <v>30</v>
      </c>
      <c r="C149">
        <v>45762</v>
      </c>
      <c r="D149" t="s">
        <v>59</v>
      </c>
      <c r="E149" t="s">
        <v>66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33</v>
      </c>
      <c r="M149" t="s">
        <v>34</v>
      </c>
    </row>
    <row r="150" spans="1:13">
      <c r="A150" t="s">
        <v>211</v>
      </c>
      <c r="B150" t="s">
        <v>14</v>
      </c>
      <c r="C150">
        <v>45459</v>
      </c>
      <c r="D150" t="s">
        <v>59</v>
      </c>
      <c r="E150" t="s">
        <v>99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33</v>
      </c>
      <c r="M150" t="s">
        <v>18</v>
      </c>
    </row>
    <row r="151" spans="1:13">
      <c r="A151" t="s">
        <v>212</v>
      </c>
      <c r="B151" t="s">
        <v>25</v>
      </c>
      <c r="C151">
        <v>45526</v>
      </c>
      <c r="D151" t="s">
        <v>39</v>
      </c>
      <c r="E151" t="s">
        <v>55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27</v>
      </c>
      <c r="M151" t="s">
        <v>34</v>
      </c>
    </row>
    <row r="152" spans="1:13">
      <c r="A152" t="s">
        <v>213</v>
      </c>
      <c r="B152" t="s">
        <v>30</v>
      </c>
      <c r="C152">
        <v>45499</v>
      </c>
      <c r="D152" t="s">
        <v>44</v>
      </c>
      <c r="E152" t="s">
        <v>140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33</v>
      </c>
      <c r="M152" t="s">
        <v>18</v>
      </c>
    </row>
    <row r="153" spans="1:13">
      <c r="A153" t="s">
        <v>214</v>
      </c>
      <c r="B153" t="s">
        <v>38</v>
      </c>
      <c r="C153">
        <v>45769</v>
      </c>
      <c r="D153" t="s">
        <v>44</v>
      </c>
      <c r="E153" t="s">
        <v>49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33</v>
      </c>
      <c r="M153" t="s">
        <v>34</v>
      </c>
    </row>
    <row r="154" spans="1:13">
      <c r="A154" t="s">
        <v>215</v>
      </c>
      <c r="B154" t="s">
        <v>14</v>
      </c>
      <c r="C154">
        <v>45658</v>
      </c>
      <c r="D154" t="s">
        <v>59</v>
      </c>
      <c r="E154" t="s">
        <v>99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27</v>
      </c>
      <c r="M154" t="s">
        <v>28</v>
      </c>
    </row>
    <row r="155" spans="1:13">
      <c r="A155" t="s">
        <v>216</v>
      </c>
      <c r="B155" t="s">
        <v>30</v>
      </c>
      <c r="C155">
        <v>45574</v>
      </c>
      <c r="D155" t="s">
        <v>39</v>
      </c>
      <c r="E155" t="s">
        <v>68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51</v>
      </c>
      <c r="M155" t="s">
        <v>34</v>
      </c>
    </row>
    <row r="156" spans="1:13">
      <c r="A156" t="s">
        <v>217</v>
      </c>
      <c r="B156" t="s">
        <v>25</v>
      </c>
      <c r="C156">
        <v>45647</v>
      </c>
      <c r="D156" t="s">
        <v>44</v>
      </c>
      <c r="E156" t="s">
        <v>45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51</v>
      </c>
      <c r="M156" t="s">
        <v>23</v>
      </c>
    </row>
    <row r="157" spans="1:13">
      <c r="A157" t="s">
        <v>218</v>
      </c>
      <c r="B157" t="s">
        <v>38</v>
      </c>
      <c r="C157">
        <v>45587</v>
      </c>
      <c r="D157" t="s">
        <v>39</v>
      </c>
      <c r="E157" t="s">
        <v>40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51</v>
      </c>
      <c r="M157" t="s">
        <v>23</v>
      </c>
    </row>
    <row r="158" spans="1:13">
      <c r="A158" t="s">
        <v>219</v>
      </c>
      <c r="B158" t="s">
        <v>25</v>
      </c>
      <c r="C158">
        <v>45496</v>
      </c>
      <c r="D158" t="s">
        <v>31</v>
      </c>
      <c r="E158" t="s">
        <v>105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51</v>
      </c>
      <c r="M158" t="s">
        <v>23</v>
      </c>
    </row>
    <row r="159" spans="1:13">
      <c r="A159" t="s">
        <v>220</v>
      </c>
      <c r="B159" t="s">
        <v>30</v>
      </c>
      <c r="C159">
        <v>45515</v>
      </c>
      <c r="D159" t="s">
        <v>31</v>
      </c>
      <c r="E159" t="s">
        <v>32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27</v>
      </c>
      <c r="M159" t="s">
        <v>18</v>
      </c>
    </row>
    <row r="160" spans="1:13">
      <c r="A160" t="s">
        <v>221</v>
      </c>
      <c r="B160" t="s">
        <v>38</v>
      </c>
      <c r="C160">
        <v>45621</v>
      </c>
      <c r="D160" t="s">
        <v>31</v>
      </c>
      <c r="E160" t="s">
        <v>57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51</v>
      </c>
      <c r="M160" t="s">
        <v>23</v>
      </c>
    </row>
    <row r="161" spans="1:13">
      <c r="A161" t="s">
        <v>222</v>
      </c>
      <c r="B161" t="s">
        <v>14</v>
      </c>
      <c r="C161">
        <v>45528</v>
      </c>
      <c r="D161" t="s">
        <v>59</v>
      </c>
      <c r="E161" t="s">
        <v>99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27</v>
      </c>
    </row>
    <row r="162" spans="1:13">
      <c r="A162" t="s">
        <v>223</v>
      </c>
      <c r="B162" t="s">
        <v>14</v>
      </c>
      <c r="C162">
        <v>45707</v>
      </c>
      <c r="D162" t="s">
        <v>20</v>
      </c>
      <c r="E162" t="s">
        <v>21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27</v>
      </c>
      <c r="M162" t="s">
        <v>34</v>
      </c>
    </row>
    <row r="163" spans="1:13">
      <c r="A163" t="s">
        <v>224</v>
      </c>
      <c r="B163" t="s">
        <v>38</v>
      </c>
      <c r="C163">
        <v>45748</v>
      </c>
      <c r="D163" t="s">
        <v>31</v>
      </c>
      <c r="E163" t="s">
        <v>57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51</v>
      </c>
    </row>
    <row r="164" spans="1:13">
      <c r="A164" t="s">
        <v>225</v>
      </c>
      <c r="B164" t="s">
        <v>30</v>
      </c>
      <c r="C164">
        <v>45755</v>
      </c>
      <c r="D164" t="s">
        <v>44</v>
      </c>
      <c r="E164" t="s">
        <v>140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27</v>
      </c>
      <c r="M164" t="s">
        <v>23</v>
      </c>
    </row>
    <row r="165" spans="1:13">
      <c r="A165" t="s">
        <v>226</v>
      </c>
      <c r="B165" t="s">
        <v>25</v>
      </c>
      <c r="C165">
        <v>45715</v>
      </c>
      <c r="D165" t="s">
        <v>20</v>
      </c>
      <c r="E165" t="s">
        <v>77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72</v>
      </c>
      <c r="M165" t="s">
        <v>34</v>
      </c>
    </row>
    <row r="166" spans="1:13">
      <c r="A166" t="s">
        <v>227</v>
      </c>
      <c r="B166" t="s">
        <v>14</v>
      </c>
      <c r="C166">
        <v>45637</v>
      </c>
      <c r="D166" t="s">
        <v>20</v>
      </c>
      <c r="E166" t="s">
        <v>21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27</v>
      </c>
      <c r="M166" t="s">
        <v>23</v>
      </c>
    </row>
    <row r="167" spans="1:13">
      <c r="A167" t="s">
        <v>228</v>
      </c>
      <c r="B167" t="s">
        <v>14</v>
      </c>
      <c r="C167">
        <v>45704</v>
      </c>
      <c r="D167" t="s">
        <v>15</v>
      </c>
      <c r="E167" t="s">
        <v>16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51</v>
      </c>
      <c r="M167" t="s">
        <v>18</v>
      </c>
    </row>
    <row r="168" spans="1:13">
      <c r="A168" t="s">
        <v>229</v>
      </c>
      <c r="B168" t="s">
        <v>30</v>
      </c>
      <c r="C168">
        <v>45624</v>
      </c>
      <c r="D168" t="s">
        <v>20</v>
      </c>
      <c r="E168" t="s">
        <v>82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51</v>
      </c>
    </row>
    <row r="169" spans="1:13">
      <c r="A169" t="s">
        <v>230</v>
      </c>
      <c r="B169" t="s">
        <v>38</v>
      </c>
      <c r="C169">
        <v>45608</v>
      </c>
      <c r="D169" t="s">
        <v>20</v>
      </c>
      <c r="E169" t="s">
        <v>47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33</v>
      </c>
      <c r="M169" t="s">
        <v>18</v>
      </c>
    </row>
    <row r="170" spans="1:13">
      <c r="A170" t="s">
        <v>231</v>
      </c>
      <c r="B170" t="s">
        <v>25</v>
      </c>
      <c r="C170">
        <v>45629</v>
      </c>
      <c r="D170" t="s">
        <v>59</v>
      </c>
      <c r="E170" t="s">
        <v>143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33</v>
      </c>
      <c r="M170" t="s">
        <v>18</v>
      </c>
    </row>
    <row r="171" spans="1:13">
      <c r="A171" t="s">
        <v>232</v>
      </c>
      <c r="B171" t="s">
        <v>14</v>
      </c>
      <c r="C171">
        <v>45775</v>
      </c>
      <c r="D171" t="s">
        <v>20</v>
      </c>
      <c r="E171" t="s">
        <v>21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27</v>
      </c>
      <c r="M171" t="s">
        <v>28</v>
      </c>
    </row>
    <row r="172" spans="1:13">
      <c r="A172" t="s">
        <v>233</v>
      </c>
      <c r="B172" t="s">
        <v>25</v>
      </c>
      <c r="C172">
        <v>45657</v>
      </c>
      <c r="D172" t="s">
        <v>59</v>
      </c>
      <c r="E172" t="s">
        <v>143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51</v>
      </c>
      <c r="M172" t="s">
        <v>23</v>
      </c>
    </row>
    <row r="173" spans="1:13">
      <c r="A173" t="s">
        <v>234</v>
      </c>
      <c r="B173" t="s">
        <v>38</v>
      </c>
      <c r="C173">
        <v>45518</v>
      </c>
      <c r="D173" t="s">
        <v>39</v>
      </c>
      <c r="E173" t="s">
        <v>40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33</v>
      </c>
      <c r="M173" t="s">
        <v>28</v>
      </c>
    </row>
    <row r="174" spans="1:13">
      <c r="A174" t="s">
        <v>235</v>
      </c>
      <c r="B174" t="s">
        <v>14</v>
      </c>
      <c r="C174">
        <v>45631</v>
      </c>
      <c r="D174" t="s">
        <v>59</v>
      </c>
      <c r="E174" t="s">
        <v>99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51</v>
      </c>
      <c r="M174" t="s">
        <v>28</v>
      </c>
    </row>
    <row r="175" spans="1:13">
      <c r="A175" t="s">
        <v>236</v>
      </c>
      <c r="B175" t="s">
        <v>38</v>
      </c>
      <c r="C175">
        <v>45465</v>
      </c>
      <c r="D175" t="s">
        <v>20</v>
      </c>
      <c r="E175" t="s">
        <v>47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33</v>
      </c>
    </row>
    <row r="176" spans="1:13">
      <c r="A176" t="s">
        <v>237</v>
      </c>
      <c r="B176" t="s">
        <v>30</v>
      </c>
      <c r="C176">
        <v>45674</v>
      </c>
      <c r="D176" t="s">
        <v>15</v>
      </c>
      <c r="E176" t="s">
        <v>64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51</v>
      </c>
      <c r="M176" t="s">
        <v>34</v>
      </c>
    </row>
    <row r="177" spans="1:13">
      <c r="A177" t="s">
        <v>238</v>
      </c>
      <c r="B177" t="s">
        <v>38</v>
      </c>
      <c r="C177">
        <v>45463</v>
      </c>
      <c r="D177" t="s">
        <v>59</v>
      </c>
      <c r="E177" t="s">
        <v>60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27</v>
      </c>
      <c r="M177" t="s">
        <v>18</v>
      </c>
    </row>
    <row r="178" spans="1:13">
      <c r="A178" t="s">
        <v>239</v>
      </c>
      <c r="B178" t="s">
        <v>30</v>
      </c>
      <c r="C178">
        <v>45483</v>
      </c>
      <c r="D178" t="s">
        <v>39</v>
      </c>
      <c r="E178" t="s">
        <v>68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27</v>
      </c>
      <c r="M178" t="s">
        <v>28</v>
      </c>
    </row>
    <row r="179" spans="1:13">
      <c r="A179" t="s">
        <v>240</v>
      </c>
      <c r="B179" t="s">
        <v>30</v>
      </c>
      <c r="C179">
        <v>45603</v>
      </c>
      <c r="D179" t="s">
        <v>59</v>
      </c>
      <c r="E179" t="s">
        <v>66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27</v>
      </c>
      <c r="M179" t="s">
        <v>34</v>
      </c>
    </row>
    <row r="180" spans="1:13">
      <c r="A180" t="s">
        <v>241</v>
      </c>
      <c r="B180" t="s">
        <v>38</v>
      </c>
      <c r="C180">
        <v>45488</v>
      </c>
      <c r="D180" t="s">
        <v>39</v>
      </c>
      <c r="E180" t="s">
        <v>40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27</v>
      </c>
    </row>
    <row r="181" spans="1:13">
      <c r="A181" t="s">
        <v>242</v>
      </c>
      <c r="B181" t="s">
        <v>25</v>
      </c>
      <c r="C181">
        <v>45629</v>
      </c>
      <c r="D181" t="s">
        <v>20</v>
      </c>
      <c r="E181" t="s">
        <v>77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27</v>
      </c>
      <c r="M181" t="s">
        <v>18</v>
      </c>
    </row>
    <row r="182" spans="1:13">
      <c r="A182" t="s">
        <v>243</v>
      </c>
      <c r="B182" t="s">
        <v>25</v>
      </c>
      <c r="C182">
        <v>45737</v>
      </c>
      <c r="D182" t="s">
        <v>44</v>
      </c>
      <c r="E182" t="s">
        <v>45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33</v>
      </c>
      <c r="M182" t="s">
        <v>28</v>
      </c>
    </row>
    <row r="183" spans="1:13">
      <c r="A183" t="s">
        <v>244</v>
      </c>
      <c r="B183" t="s">
        <v>38</v>
      </c>
      <c r="C183">
        <v>45504</v>
      </c>
      <c r="D183" t="s">
        <v>44</v>
      </c>
      <c r="E183" t="s">
        <v>49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27</v>
      </c>
      <c r="M183" t="s">
        <v>34</v>
      </c>
    </row>
    <row r="184" spans="1:13">
      <c r="A184" t="s">
        <v>245</v>
      </c>
      <c r="B184" t="s">
        <v>30</v>
      </c>
      <c r="C184">
        <v>45643</v>
      </c>
      <c r="D184" t="s">
        <v>31</v>
      </c>
      <c r="E184" t="s">
        <v>32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51</v>
      </c>
      <c r="M184" t="s">
        <v>23</v>
      </c>
    </row>
    <row r="185" spans="1:13">
      <c r="A185" t="s">
        <v>246</v>
      </c>
      <c r="B185" t="s">
        <v>14</v>
      </c>
      <c r="C185">
        <v>45501</v>
      </c>
      <c r="D185" t="s">
        <v>44</v>
      </c>
      <c r="E185" t="s">
        <v>92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33</v>
      </c>
      <c r="M185" t="s">
        <v>18</v>
      </c>
    </row>
    <row r="186" spans="1:13">
      <c r="A186" t="s">
        <v>247</v>
      </c>
      <c r="B186" t="s">
        <v>30</v>
      </c>
      <c r="C186">
        <v>45668</v>
      </c>
      <c r="D186" t="s">
        <v>39</v>
      </c>
      <c r="E186" t="s">
        <v>68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33</v>
      </c>
    </row>
    <row r="187" spans="1:13">
      <c r="A187" t="s">
        <v>248</v>
      </c>
      <c r="B187" t="s">
        <v>38</v>
      </c>
      <c r="C187">
        <v>45528</v>
      </c>
      <c r="D187" t="s">
        <v>39</v>
      </c>
      <c r="E187" t="s">
        <v>40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33</v>
      </c>
      <c r="M187" t="s">
        <v>28</v>
      </c>
    </row>
    <row r="188" spans="1:13">
      <c r="A188" t="s">
        <v>249</v>
      </c>
      <c r="B188" t="s">
        <v>14</v>
      </c>
      <c r="C188">
        <v>45648</v>
      </c>
      <c r="D188" t="s">
        <v>15</v>
      </c>
      <c r="E188" t="s">
        <v>16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33</v>
      </c>
      <c r="M188" t="s">
        <v>28</v>
      </c>
    </row>
    <row r="189" spans="1:13">
      <c r="A189" t="s">
        <v>250</v>
      </c>
      <c r="B189" t="s">
        <v>25</v>
      </c>
      <c r="C189">
        <v>45449</v>
      </c>
      <c r="D189" t="s">
        <v>15</v>
      </c>
      <c r="E189" t="s">
        <v>26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51</v>
      </c>
      <c r="M189" t="s">
        <v>23</v>
      </c>
    </row>
    <row r="190" spans="1:13">
      <c r="A190" t="s">
        <v>251</v>
      </c>
      <c r="B190" t="s">
        <v>38</v>
      </c>
      <c r="C190">
        <v>45740</v>
      </c>
      <c r="D190" t="s">
        <v>15</v>
      </c>
      <c r="E190" t="s">
        <v>53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27</v>
      </c>
      <c r="M190" t="s">
        <v>18</v>
      </c>
    </row>
    <row r="191" spans="1:13">
      <c r="A191" t="s">
        <v>252</v>
      </c>
      <c r="B191" t="s">
        <v>25</v>
      </c>
      <c r="C191">
        <v>45569</v>
      </c>
      <c r="D191" t="s">
        <v>20</v>
      </c>
      <c r="E191" t="s">
        <v>77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51</v>
      </c>
    </row>
    <row r="192" spans="1:13">
      <c r="A192" t="s">
        <v>253</v>
      </c>
      <c r="B192" t="s">
        <v>25</v>
      </c>
      <c r="C192">
        <v>45629</v>
      </c>
      <c r="D192" t="s">
        <v>31</v>
      </c>
      <c r="E192" t="s">
        <v>105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51</v>
      </c>
      <c r="M192" t="s">
        <v>28</v>
      </c>
    </row>
    <row r="193" spans="1:13">
      <c r="A193" t="s">
        <v>254</v>
      </c>
      <c r="B193" t="s">
        <v>30</v>
      </c>
      <c r="C193">
        <v>45625</v>
      </c>
      <c r="D193" t="s">
        <v>59</v>
      </c>
      <c r="E193" t="s">
        <v>66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33</v>
      </c>
    </row>
    <row r="194" spans="1:13">
      <c r="A194" t="s">
        <v>255</v>
      </c>
      <c r="B194" t="s">
        <v>14</v>
      </c>
      <c r="C194">
        <v>45546</v>
      </c>
      <c r="D194" t="s">
        <v>44</v>
      </c>
      <c r="E194" t="s">
        <v>92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33</v>
      </c>
      <c r="M194" t="s">
        <v>28</v>
      </c>
    </row>
    <row r="195" spans="1:13">
      <c r="A195" t="s">
        <v>256</v>
      </c>
      <c r="B195" t="s">
        <v>25</v>
      </c>
      <c r="C195">
        <v>45567</v>
      </c>
      <c r="D195" t="s">
        <v>31</v>
      </c>
      <c r="E195" t="s">
        <v>105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33</v>
      </c>
      <c r="M195" t="s">
        <v>18</v>
      </c>
    </row>
    <row r="196" spans="1:13">
      <c r="A196" t="s">
        <v>257</v>
      </c>
      <c r="B196" t="s">
        <v>30</v>
      </c>
      <c r="C196">
        <v>45519</v>
      </c>
      <c r="D196" t="s">
        <v>39</v>
      </c>
      <c r="E196" t="s">
        <v>68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141</v>
      </c>
      <c r="M196" t="s">
        <v>34</v>
      </c>
    </row>
    <row r="197" spans="1:13">
      <c r="A197" t="s">
        <v>258</v>
      </c>
      <c r="B197" t="s">
        <v>30</v>
      </c>
      <c r="C197">
        <v>45645</v>
      </c>
      <c r="D197" t="s">
        <v>20</v>
      </c>
      <c r="E197" t="s">
        <v>82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33</v>
      </c>
      <c r="M197" t="s">
        <v>28</v>
      </c>
    </row>
    <row r="198" spans="1:13">
      <c r="A198" t="s">
        <v>259</v>
      </c>
      <c r="B198" t="s">
        <v>14</v>
      </c>
      <c r="C198">
        <v>45587</v>
      </c>
      <c r="D198" t="s">
        <v>15</v>
      </c>
      <c r="E198" t="s">
        <v>16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33</v>
      </c>
      <c r="M198" t="s">
        <v>18</v>
      </c>
    </row>
    <row r="199" spans="1:13">
      <c r="A199" t="s">
        <v>260</v>
      </c>
      <c r="B199" t="s">
        <v>14</v>
      </c>
      <c r="C199">
        <v>45549</v>
      </c>
      <c r="D199" t="s">
        <v>44</v>
      </c>
      <c r="E199" t="s">
        <v>92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27</v>
      </c>
      <c r="M199" t="s">
        <v>28</v>
      </c>
    </row>
    <row r="200" spans="1:13">
      <c r="A200" t="s">
        <v>261</v>
      </c>
      <c r="B200" t="s">
        <v>25</v>
      </c>
      <c r="C200">
        <v>45626</v>
      </c>
      <c r="D200" t="s">
        <v>39</v>
      </c>
      <c r="E200" t="s">
        <v>55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27</v>
      </c>
      <c r="M200" t="s">
        <v>23</v>
      </c>
    </row>
    <row r="201" spans="1:13">
      <c r="A201" t="s">
        <v>262</v>
      </c>
      <c r="B201" t="s">
        <v>38</v>
      </c>
      <c r="C201">
        <v>45754</v>
      </c>
      <c r="D201" t="s">
        <v>15</v>
      </c>
      <c r="E201" t="s">
        <v>53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27</v>
      </c>
      <c r="M201" t="s">
        <v>23</v>
      </c>
    </row>
    <row r="202" spans="1:13">
      <c r="A202" t="s">
        <v>263</v>
      </c>
      <c r="B202" t="s">
        <v>14</v>
      </c>
      <c r="C202">
        <v>45672</v>
      </c>
      <c r="D202" t="s">
        <v>15</v>
      </c>
      <c r="E202" t="s">
        <v>16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33</v>
      </c>
      <c r="M202" t="s">
        <v>18</v>
      </c>
    </row>
    <row r="203" spans="1:13">
      <c r="A203" t="s">
        <v>264</v>
      </c>
      <c r="B203" t="s">
        <v>38</v>
      </c>
      <c r="C203">
        <v>45445</v>
      </c>
      <c r="D203" t="s">
        <v>44</v>
      </c>
      <c r="E203" t="s">
        <v>49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33</v>
      </c>
      <c r="M203" t="s">
        <v>28</v>
      </c>
    </row>
    <row r="204" spans="1:13">
      <c r="A204" t="s">
        <v>265</v>
      </c>
      <c r="B204" t="s">
        <v>30</v>
      </c>
      <c r="C204">
        <v>45617</v>
      </c>
      <c r="D204" t="s">
        <v>39</v>
      </c>
      <c r="E204" t="s">
        <v>68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51</v>
      </c>
      <c r="M204" t="s">
        <v>18</v>
      </c>
    </row>
    <row r="205" spans="1:13">
      <c r="A205" t="s">
        <v>266</v>
      </c>
      <c r="B205" t="s">
        <v>30</v>
      </c>
      <c r="C205">
        <v>45658</v>
      </c>
      <c r="D205" t="s">
        <v>39</v>
      </c>
      <c r="E205" t="s">
        <v>68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51</v>
      </c>
      <c r="M205" t="s">
        <v>28</v>
      </c>
    </row>
    <row r="206" spans="1:13">
      <c r="A206" t="s">
        <v>267</v>
      </c>
      <c r="B206" t="s">
        <v>14</v>
      </c>
      <c r="C206">
        <v>45771</v>
      </c>
      <c r="D206" t="s">
        <v>59</v>
      </c>
      <c r="E206" t="s">
        <v>99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268</v>
      </c>
      <c r="M206" t="s">
        <v>34</v>
      </c>
    </row>
    <row r="207" spans="1:13">
      <c r="A207" t="s">
        <v>269</v>
      </c>
      <c r="B207" t="s">
        <v>14</v>
      </c>
      <c r="C207">
        <v>45467</v>
      </c>
      <c r="D207" t="s">
        <v>20</v>
      </c>
      <c r="E207" t="s">
        <v>21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33</v>
      </c>
      <c r="M207" t="s">
        <v>18</v>
      </c>
    </row>
    <row r="208" spans="1:13">
      <c r="A208" t="s">
        <v>270</v>
      </c>
      <c r="B208" t="s">
        <v>14</v>
      </c>
      <c r="C208">
        <v>45655</v>
      </c>
      <c r="D208" t="s">
        <v>39</v>
      </c>
      <c r="E208" t="s">
        <v>42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268</v>
      </c>
      <c r="M208" t="s">
        <v>28</v>
      </c>
    </row>
    <row r="209" spans="1:13">
      <c r="A209" t="s">
        <v>271</v>
      </c>
      <c r="B209" t="s">
        <v>25</v>
      </c>
      <c r="C209">
        <v>45467</v>
      </c>
      <c r="D209" t="s">
        <v>59</v>
      </c>
      <c r="E209" t="s">
        <v>143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27</v>
      </c>
      <c r="M209" t="s">
        <v>23</v>
      </c>
    </row>
    <row r="210" spans="1:13">
      <c r="A210" t="s">
        <v>272</v>
      </c>
      <c r="B210" t="s">
        <v>14</v>
      </c>
      <c r="C210">
        <v>45735</v>
      </c>
      <c r="D210" t="s">
        <v>59</v>
      </c>
      <c r="E210" t="s">
        <v>99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17</v>
      </c>
      <c r="M210" t="s">
        <v>34</v>
      </c>
    </row>
    <row r="211" spans="1:13">
      <c r="A211" t="s">
        <v>273</v>
      </c>
      <c r="B211" t="s">
        <v>25</v>
      </c>
      <c r="C211">
        <v>45707</v>
      </c>
      <c r="D211" t="s">
        <v>44</v>
      </c>
      <c r="E211" t="s">
        <v>45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51</v>
      </c>
      <c r="M211" t="s">
        <v>18</v>
      </c>
    </row>
    <row r="212" spans="1:13">
      <c r="A212" t="s">
        <v>274</v>
      </c>
      <c r="B212" t="s">
        <v>14</v>
      </c>
      <c r="C212">
        <v>45491</v>
      </c>
      <c r="D212" t="s">
        <v>39</v>
      </c>
      <c r="E212" t="s">
        <v>42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51</v>
      </c>
      <c r="M212" t="s">
        <v>34</v>
      </c>
    </row>
    <row r="213" spans="1:13">
      <c r="A213" t="s">
        <v>275</v>
      </c>
      <c r="B213" t="s">
        <v>25</v>
      </c>
      <c r="C213">
        <v>45719</v>
      </c>
      <c r="D213" t="s">
        <v>59</v>
      </c>
      <c r="E213" t="s">
        <v>143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27</v>
      </c>
      <c r="M213" t="s">
        <v>23</v>
      </c>
    </row>
    <row r="214" spans="1:13">
      <c r="A214" t="s">
        <v>276</v>
      </c>
      <c r="B214" t="s">
        <v>38</v>
      </c>
      <c r="C214">
        <v>45778</v>
      </c>
      <c r="D214" t="s">
        <v>39</v>
      </c>
      <c r="E214" t="s">
        <v>40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33</v>
      </c>
      <c r="M214" t="s">
        <v>34</v>
      </c>
    </row>
    <row r="215" spans="1:13">
      <c r="A215" t="s">
        <v>277</v>
      </c>
      <c r="B215" t="s">
        <v>30</v>
      </c>
      <c r="C215">
        <v>45649</v>
      </c>
      <c r="D215" t="s">
        <v>44</v>
      </c>
      <c r="E215" t="s">
        <v>140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51</v>
      </c>
      <c r="M215" t="s">
        <v>23</v>
      </c>
    </row>
    <row r="216" spans="1:13">
      <c r="A216" t="s">
        <v>278</v>
      </c>
      <c r="B216" t="s">
        <v>38</v>
      </c>
      <c r="C216">
        <v>45783</v>
      </c>
      <c r="D216" t="s">
        <v>44</v>
      </c>
      <c r="E216" t="s">
        <v>49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33</v>
      </c>
      <c r="M216" t="s">
        <v>23</v>
      </c>
    </row>
    <row r="217" spans="1:13">
      <c r="A217" t="s">
        <v>279</v>
      </c>
      <c r="B217" t="s">
        <v>25</v>
      </c>
      <c r="C217">
        <v>45502</v>
      </c>
      <c r="D217" t="s">
        <v>31</v>
      </c>
      <c r="E217" t="s">
        <v>105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33</v>
      </c>
      <c r="M217" t="s">
        <v>23</v>
      </c>
    </row>
    <row r="218" spans="1:13">
      <c r="A218" t="s">
        <v>280</v>
      </c>
      <c r="B218" t="s">
        <v>38</v>
      </c>
      <c r="C218">
        <v>45629</v>
      </c>
      <c r="D218" t="s">
        <v>44</v>
      </c>
      <c r="E218" t="s">
        <v>49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27</v>
      </c>
    </row>
    <row r="219" spans="1:13">
      <c r="A219" t="s">
        <v>281</v>
      </c>
      <c r="B219" t="s">
        <v>38</v>
      </c>
      <c r="C219">
        <v>45454</v>
      </c>
      <c r="D219" t="s">
        <v>39</v>
      </c>
      <c r="E219" t="s">
        <v>40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27</v>
      </c>
      <c r="M219" t="s">
        <v>34</v>
      </c>
    </row>
    <row r="220" spans="1:13">
      <c r="A220" t="s">
        <v>282</v>
      </c>
      <c r="B220" t="s">
        <v>14</v>
      </c>
      <c r="C220">
        <v>45685</v>
      </c>
      <c r="D220" t="s">
        <v>15</v>
      </c>
      <c r="E220" t="s">
        <v>16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27</v>
      </c>
      <c r="M220" t="s">
        <v>34</v>
      </c>
    </row>
    <row r="221" spans="1:13">
      <c r="A221" t="s">
        <v>283</v>
      </c>
      <c r="B221" t="s">
        <v>30</v>
      </c>
      <c r="C221">
        <v>45445</v>
      </c>
      <c r="D221" t="s">
        <v>31</v>
      </c>
      <c r="E221" t="s">
        <v>32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33</v>
      </c>
    </row>
    <row r="222" spans="1:13">
      <c r="A222" t="s">
        <v>284</v>
      </c>
      <c r="B222" t="s">
        <v>38</v>
      </c>
      <c r="C222">
        <v>45739</v>
      </c>
      <c r="D222" t="s">
        <v>59</v>
      </c>
      <c r="E222" t="s">
        <v>60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27</v>
      </c>
    </row>
    <row r="223" spans="1:13">
      <c r="A223" t="s">
        <v>285</v>
      </c>
      <c r="B223" t="s">
        <v>38</v>
      </c>
      <c r="C223">
        <v>45573</v>
      </c>
      <c r="D223" t="s">
        <v>15</v>
      </c>
      <c r="E223" t="s">
        <v>53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286</v>
      </c>
      <c r="M223" t="s">
        <v>18</v>
      </c>
    </row>
    <row r="224" spans="1:13">
      <c r="A224" t="s">
        <v>287</v>
      </c>
      <c r="B224" t="s">
        <v>14</v>
      </c>
      <c r="C224">
        <v>45608</v>
      </c>
      <c r="D224" t="s">
        <v>44</v>
      </c>
      <c r="E224" t="s">
        <v>92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27</v>
      </c>
    </row>
    <row r="225" spans="1:13">
      <c r="A225" t="s">
        <v>288</v>
      </c>
      <c r="B225" t="s">
        <v>38</v>
      </c>
      <c r="C225">
        <v>45790</v>
      </c>
      <c r="D225" t="s">
        <v>44</v>
      </c>
      <c r="E225" t="s">
        <v>49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27</v>
      </c>
      <c r="M225" t="s">
        <v>28</v>
      </c>
    </row>
    <row r="226" spans="1:13">
      <c r="A226" t="s">
        <v>289</v>
      </c>
      <c r="B226" t="s">
        <v>14</v>
      </c>
      <c r="C226">
        <v>45463</v>
      </c>
      <c r="D226" t="s">
        <v>39</v>
      </c>
      <c r="E226" t="s">
        <v>42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33</v>
      </c>
    </row>
    <row r="227" spans="1:13">
      <c r="A227" t="s">
        <v>290</v>
      </c>
      <c r="B227" t="s">
        <v>30</v>
      </c>
      <c r="C227">
        <v>45511</v>
      </c>
      <c r="D227" t="s">
        <v>39</v>
      </c>
      <c r="E227" t="s">
        <v>68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27</v>
      </c>
    </row>
    <row r="228" spans="1:13">
      <c r="A228" t="s">
        <v>291</v>
      </c>
      <c r="B228" t="s">
        <v>30</v>
      </c>
      <c r="C228">
        <v>45455</v>
      </c>
      <c r="D228" t="s">
        <v>20</v>
      </c>
      <c r="E228" t="s">
        <v>82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51</v>
      </c>
      <c r="M228" t="s">
        <v>28</v>
      </c>
    </row>
    <row r="229" spans="1:13">
      <c r="A229" t="s">
        <v>292</v>
      </c>
      <c r="B229" t="s">
        <v>30</v>
      </c>
      <c r="C229">
        <v>45474</v>
      </c>
      <c r="D229" t="s">
        <v>31</v>
      </c>
      <c r="E229" t="s">
        <v>32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33</v>
      </c>
      <c r="M229" t="s">
        <v>18</v>
      </c>
    </row>
    <row r="230" spans="1:13">
      <c r="A230" t="s">
        <v>293</v>
      </c>
      <c r="B230" t="s">
        <v>30</v>
      </c>
      <c r="C230">
        <v>45476</v>
      </c>
      <c r="D230" t="s">
        <v>39</v>
      </c>
      <c r="E230" t="s">
        <v>68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27</v>
      </c>
    </row>
    <row r="231" spans="1:13">
      <c r="A231" t="s">
        <v>294</v>
      </c>
      <c r="B231" t="s">
        <v>38</v>
      </c>
      <c r="C231">
        <v>45488</v>
      </c>
      <c r="D231" t="s">
        <v>15</v>
      </c>
      <c r="E231" t="s">
        <v>53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33</v>
      </c>
      <c r="M231" t="s">
        <v>28</v>
      </c>
    </row>
    <row r="232" spans="1:13">
      <c r="A232" t="s">
        <v>295</v>
      </c>
      <c r="B232" t="s">
        <v>30</v>
      </c>
      <c r="C232">
        <v>45778</v>
      </c>
      <c r="D232" t="s">
        <v>20</v>
      </c>
      <c r="E232" t="s">
        <v>82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51</v>
      </c>
      <c r="M232" t="s">
        <v>18</v>
      </c>
    </row>
    <row r="233" spans="1:13">
      <c r="A233" t="s">
        <v>296</v>
      </c>
      <c r="B233" t="s">
        <v>14</v>
      </c>
      <c r="C233">
        <v>45776</v>
      </c>
      <c r="D233" t="s">
        <v>31</v>
      </c>
      <c r="E233" t="s">
        <v>102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33</v>
      </c>
      <c r="M233" t="s">
        <v>34</v>
      </c>
    </row>
    <row r="234" spans="1:13">
      <c r="A234" t="s">
        <v>297</v>
      </c>
      <c r="B234" t="s">
        <v>38</v>
      </c>
      <c r="C234">
        <v>45724</v>
      </c>
      <c r="D234" t="s">
        <v>44</v>
      </c>
      <c r="E234" t="s">
        <v>49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51</v>
      </c>
      <c r="M234" t="s">
        <v>34</v>
      </c>
    </row>
    <row r="235" spans="1:13">
      <c r="A235" t="s">
        <v>298</v>
      </c>
      <c r="B235" t="s">
        <v>38</v>
      </c>
      <c r="C235">
        <v>45444</v>
      </c>
      <c r="D235" t="s">
        <v>20</v>
      </c>
      <c r="E235" t="s">
        <v>47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27</v>
      </c>
    </row>
    <row r="236" spans="1:13">
      <c r="A236" t="s">
        <v>299</v>
      </c>
      <c r="B236" t="s">
        <v>38</v>
      </c>
      <c r="C236">
        <v>45648</v>
      </c>
      <c r="D236" t="s">
        <v>44</v>
      </c>
      <c r="E236" t="s">
        <v>49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27</v>
      </c>
      <c r="M236" t="s">
        <v>28</v>
      </c>
    </row>
    <row r="237" spans="1:13">
      <c r="A237" t="s">
        <v>300</v>
      </c>
      <c r="B237" t="s">
        <v>38</v>
      </c>
      <c r="C237">
        <v>45523</v>
      </c>
      <c r="D237" t="s">
        <v>20</v>
      </c>
      <c r="E237" t="s">
        <v>47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301</v>
      </c>
      <c r="M237" t="s">
        <v>23</v>
      </c>
    </row>
    <row r="238" spans="1:13">
      <c r="A238" t="s">
        <v>302</v>
      </c>
      <c r="B238" t="s">
        <v>30</v>
      </c>
      <c r="C238">
        <v>45587</v>
      </c>
      <c r="D238" t="s">
        <v>31</v>
      </c>
      <c r="E238" t="s">
        <v>32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51</v>
      </c>
      <c r="M238" t="s">
        <v>18</v>
      </c>
    </row>
    <row r="239" spans="1:13">
      <c r="A239" t="s">
        <v>303</v>
      </c>
      <c r="B239" t="s">
        <v>14</v>
      </c>
      <c r="C239">
        <v>45489</v>
      </c>
      <c r="D239" t="s">
        <v>20</v>
      </c>
      <c r="E239" t="s">
        <v>21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51</v>
      </c>
      <c r="M239" t="s">
        <v>34</v>
      </c>
    </row>
    <row r="240" spans="1:13">
      <c r="A240" t="s">
        <v>304</v>
      </c>
      <c r="B240" t="s">
        <v>25</v>
      </c>
      <c r="C240">
        <v>45712</v>
      </c>
      <c r="D240" t="s">
        <v>20</v>
      </c>
      <c r="E240" t="s">
        <v>77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51</v>
      </c>
    </row>
    <row r="241" spans="1:13">
      <c r="A241" t="s">
        <v>305</v>
      </c>
      <c r="B241" t="s">
        <v>14</v>
      </c>
      <c r="C241">
        <v>45530</v>
      </c>
      <c r="D241" t="s">
        <v>39</v>
      </c>
      <c r="E241" t="s">
        <v>42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117</v>
      </c>
      <c r="M241" t="s">
        <v>28</v>
      </c>
    </row>
    <row r="242" spans="1:13">
      <c r="A242" t="s">
        <v>306</v>
      </c>
      <c r="B242" t="s">
        <v>38</v>
      </c>
      <c r="C242">
        <v>45675</v>
      </c>
      <c r="D242" t="s">
        <v>31</v>
      </c>
      <c r="E242" t="s">
        <v>57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27</v>
      </c>
      <c r="M242" t="s">
        <v>34</v>
      </c>
    </row>
    <row r="243" spans="1:13">
      <c r="A243" t="s">
        <v>307</v>
      </c>
      <c r="B243" t="s">
        <v>38</v>
      </c>
      <c r="C243">
        <v>45480</v>
      </c>
      <c r="D243" t="s">
        <v>15</v>
      </c>
      <c r="E243" t="s">
        <v>53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33</v>
      </c>
      <c r="M243" t="s">
        <v>28</v>
      </c>
    </row>
    <row r="244" spans="1:13">
      <c r="A244" t="s">
        <v>308</v>
      </c>
      <c r="B244" t="s">
        <v>14</v>
      </c>
      <c r="C244">
        <v>45722</v>
      </c>
      <c r="D244" t="s">
        <v>44</v>
      </c>
      <c r="E244" t="s">
        <v>92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51</v>
      </c>
      <c r="M244" t="s">
        <v>34</v>
      </c>
    </row>
    <row r="245" spans="1:13">
      <c r="A245" t="s">
        <v>309</v>
      </c>
      <c r="B245" t="s">
        <v>25</v>
      </c>
      <c r="C245">
        <v>45590</v>
      </c>
      <c r="D245" t="s">
        <v>59</v>
      </c>
      <c r="E245" t="s">
        <v>143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51</v>
      </c>
      <c r="M245" t="s">
        <v>28</v>
      </c>
    </row>
    <row r="246" spans="1:13">
      <c r="A246" t="s">
        <v>310</v>
      </c>
      <c r="B246" t="s">
        <v>38</v>
      </c>
      <c r="C246">
        <v>45669</v>
      </c>
      <c r="D246" t="s">
        <v>15</v>
      </c>
      <c r="E246" t="s">
        <v>53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33</v>
      </c>
      <c r="M246" t="s">
        <v>18</v>
      </c>
    </row>
    <row r="247" spans="1:13">
      <c r="A247" t="s">
        <v>311</v>
      </c>
      <c r="B247" t="s">
        <v>38</v>
      </c>
      <c r="C247">
        <v>45576</v>
      </c>
      <c r="D247" t="s">
        <v>44</v>
      </c>
      <c r="E247" t="s">
        <v>49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51</v>
      </c>
      <c r="M247" t="s">
        <v>23</v>
      </c>
    </row>
    <row r="248" spans="1:13">
      <c r="A248" t="s">
        <v>312</v>
      </c>
      <c r="B248" t="s">
        <v>38</v>
      </c>
      <c r="C248">
        <v>45531</v>
      </c>
      <c r="D248" t="s">
        <v>15</v>
      </c>
      <c r="E248" t="s">
        <v>53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313</v>
      </c>
    </row>
    <row r="249" spans="1:13">
      <c r="A249" t="s">
        <v>314</v>
      </c>
      <c r="B249" t="s">
        <v>38</v>
      </c>
      <c r="C249">
        <v>45690</v>
      </c>
      <c r="D249" t="s">
        <v>31</v>
      </c>
      <c r="E249" t="s">
        <v>57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33</v>
      </c>
    </row>
    <row r="250" spans="1:13">
      <c r="A250" t="s">
        <v>315</v>
      </c>
      <c r="B250" t="s">
        <v>14</v>
      </c>
      <c r="C250">
        <v>45491</v>
      </c>
      <c r="D250" t="s">
        <v>44</v>
      </c>
      <c r="E250" t="s">
        <v>92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33</v>
      </c>
      <c r="M250" t="s">
        <v>23</v>
      </c>
    </row>
    <row r="251" spans="1:13">
      <c r="A251" t="s">
        <v>316</v>
      </c>
      <c r="B251" t="s">
        <v>38</v>
      </c>
      <c r="C251">
        <v>45465</v>
      </c>
      <c r="D251" t="s">
        <v>15</v>
      </c>
      <c r="E251" t="s">
        <v>53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51</v>
      </c>
    </row>
    <row r="252" spans="1:13">
      <c r="A252" t="s">
        <v>317</v>
      </c>
      <c r="B252" t="s">
        <v>30</v>
      </c>
      <c r="C252">
        <v>45743</v>
      </c>
      <c r="D252" t="s">
        <v>39</v>
      </c>
      <c r="E252" t="s">
        <v>68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51</v>
      </c>
    </row>
    <row r="253" spans="1:13">
      <c r="A253" t="s">
        <v>318</v>
      </c>
      <c r="B253" t="s">
        <v>38</v>
      </c>
      <c r="C253">
        <v>45775</v>
      </c>
      <c r="D253" t="s">
        <v>39</v>
      </c>
      <c r="E253" t="s">
        <v>40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51</v>
      </c>
      <c r="M253" t="s">
        <v>28</v>
      </c>
    </row>
    <row r="254" spans="1:13">
      <c r="A254" t="s">
        <v>319</v>
      </c>
      <c r="B254" t="s">
        <v>14</v>
      </c>
      <c r="C254">
        <v>45507</v>
      </c>
      <c r="D254" t="s">
        <v>15</v>
      </c>
      <c r="E254" t="s">
        <v>16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33</v>
      </c>
    </row>
    <row r="255" spans="1:13">
      <c r="A255" t="s">
        <v>320</v>
      </c>
      <c r="B255" t="s">
        <v>14</v>
      </c>
      <c r="C255">
        <v>45671</v>
      </c>
      <c r="D255" t="s">
        <v>44</v>
      </c>
      <c r="E255" t="s">
        <v>92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51</v>
      </c>
      <c r="M255" t="s">
        <v>23</v>
      </c>
    </row>
    <row r="256" spans="1:13">
      <c r="A256" t="s">
        <v>321</v>
      </c>
      <c r="B256" t="s">
        <v>38</v>
      </c>
      <c r="C256">
        <v>45750</v>
      </c>
      <c r="D256" t="s">
        <v>31</v>
      </c>
      <c r="E256" t="s">
        <v>57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51</v>
      </c>
      <c r="M256" t="s">
        <v>34</v>
      </c>
    </row>
    <row r="257" spans="1:13">
      <c r="A257" t="s">
        <v>322</v>
      </c>
      <c r="B257" t="s">
        <v>25</v>
      </c>
      <c r="C257">
        <v>45553</v>
      </c>
      <c r="D257" t="s">
        <v>39</v>
      </c>
      <c r="E257" t="s">
        <v>55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33</v>
      </c>
      <c r="M257" t="s">
        <v>23</v>
      </c>
    </row>
    <row r="258" spans="1:13">
      <c r="A258" t="s">
        <v>323</v>
      </c>
      <c r="B258" t="s">
        <v>38</v>
      </c>
      <c r="C258">
        <v>45753</v>
      </c>
      <c r="D258" t="s">
        <v>44</v>
      </c>
      <c r="E258" t="s">
        <v>49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324</v>
      </c>
      <c r="M258" t="s">
        <v>23</v>
      </c>
    </row>
    <row r="259" spans="1:13">
      <c r="A259" t="s">
        <v>325</v>
      </c>
      <c r="B259" t="s">
        <v>30</v>
      </c>
      <c r="C259">
        <v>45509</v>
      </c>
      <c r="D259" t="s">
        <v>31</v>
      </c>
      <c r="E259" t="s">
        <v>32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33</v>
      </c>
      <c r="M259" t="s">
        <v>23</v>
      </c>
    </row>
    <row r="260" spans="1:13">
      <c r="A260" t="s">
        <v>326</v>
      </c>
      <c r="B260" t="s">
        <v>38</v>
      </c>
      <c r="C260">
        <v>45698</v>
      </c>
      <c r="D260" t="s">
        <v>20</v>
      </c>
      <c r="E260" t="s">
        <v>47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27</v>
      </c>
      <c r="M260" t="s">
        <v>18</v>
      </c>
    </row>
    <row r="261" spans="1:13">
      <c r="A261" t="s">
        <v>327</v>
      </c>
      <c r="B261" t="s">
        <v>30</v>
      </c>
      <c r="C261">
        <v>45700</v>
      </c>
      <c r="D261" t="s">
        <v>31</v>
      </c>
      <c r="E261" t="s">
        <v>32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328</v>
      </c>
      <c r="M261" t="s">
        <v>28</v>
      </c>
    </row>
    <row r="262" spans="1:13">
      <c r="A262" t="s">
        <v>329</v>
      </c>
      <c r="B262" t="s">
        <v>30</v>
      </c>
      <c r="C262">
        <v>45592</v>
      </c>
      <c r="D262" t="s">
        <v>44</v>
      </c>
      <c r="E262" t="s">
        <v>140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33</v>
      </c>
      <c r="M262" t="s">
        <v>18</v>
      </c>
    </row>
    <row r="263" spans="1:13">
      <c r="A263" t="s">
        <v>330</v>
      </c>
      <c r="B263" t="s">
        <v>25</v>
      </c>
      <c r="C263">
        <v>45675</v>
      </c>
      <c r="D263" t="s">
        <v>44</v>
      </c>
      <c r="E263" t="s">
        <v>45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27</v>
      </c>
    </row>
    <row r="264" spans="1:13">
      <c r="A264" t="s">
        <v>331</v>
      </c>
      <c r="B264" t="s">
        <v>30</v>
      </c>
      <c r="C264">
        <v>45524</v>
      </c>
      <c r="D264" t="s">
        <v>15</v>
      </c>
      <c r="E264" t="s">
        <v>64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51</v>
      </c>
      <c r="M264" t="s">
        <v>23</v>
      </c>
    </row>
    <row r="265" spans="1:13">
      <c r="A265" t="s">
        <v>332</v>
      </c>
      <c r="B265" t="s">
        <v>14</v>
      </c>
      <c r="C265">
        <v>45687</v>
      </c>
      <c r="D265" t="s">
        <v>44</v>
      </c>
      <c r="E265" t="s">
        <v>92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27</v>
      </c>
      <c r="M265" t="s">
        <v>23</v>
      </c>
    </row>
    <row r="266" spans="1:13">
      <c r="A266" t="s">
        <v>333</v>
      </c>
      <c r="B266" t="s">
        <v>14</v>
      </c>
      <c r="C266">
        <v>45708</v>
      </c>
      <c r="D266" t="s">
        <v>39</v>
      </c>
      <c r="E266" t="s">
        <v>42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33</v>
      </c>
      <c r="M266" t="s">
        <v>34</v>
      </c>
    </row>
    <row r="267" spans="1:13">
      <c r="A267" t="s">
        <v>334</v>
      </c>
      <c r="B267" t="s">
        <v>38</v>
      </c>
      <c r="C267">
        <v>45621</v>
      </c>
      <c r="D267" t="s">
        <v>31</v>
      </c>
      <c r="E267" t="s">
        <v>57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27</v>
      </c>
      <c r="M267" t="s">
        <v>28</v>
      </c>
    </row>
    <row r="268" spans="1:13">
      <c r="A268" t="s">
        <v>335</v>
      </c>
      <c r="B268" t="s">
        <v>14</v>
      </c>
      <c r="C268">
        <v>45569</v>
      </c>
      <c r="D268" t="s">
        <v>15</v>
      </c>
      <c r="E268" t="s">
        <v>16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51</v>
      </c>
    </row>
    <row r="269" spans="1:13">
      <c r="A269" t="s">
        <v>336</v>
      </c>
      <c r="B269" t="s">
        <v>30</v>
      </c>
      <c r="C269">
        <v>45760</v>
      </c>
      <c r="D269" t="s">
        <v>15</v>
      </c>
      <c r="E269" t="s">
        <v>64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33</v>
      </c>
      <c r="M269" t="s">
        <v>18</v>
      </c>
    </row>
    <row r="270" spans="1:13">
      <c r="A270" t="s">
        <v>337</v>
      </c>
      <c r="B270" t="s">
        <v>30</v>
      </c>
      <c r="C270">
        <v>45601</v>
      </c>
      <c r="D270" t="s">
        <v>59</v>
      </c>
      <c r="E270" t="s">
        <v>66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27</v>
      </c>
      <c r="M270" t="s">
        <v>23</v>
      </c>
    </row>
    <row r="271" spans="1:13">
      <c r="A271" t="s">
        <v>338</v>
      </c>
      <c r="B271" t="s">
        <v>25</v>
      </c>
      <c r="C271">
        <v>45672</v>
      </c>
      <c r="D271" t="s">
        <v>15</v>
      </c>
      <c r="E271" t="s">
        <v>26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27</v>
      </c>
      <c r="M271" t="s">
        <v>28</v>
      </c>
    </row>
    <row r="272" spans="1:13">
      <c r="A272" t="s">
        <v>339</v>
      </c>
      <c r="B272" t="s">
        <v>30</v>
      </c>
      <c r="C272">
        <v>45582</v>
      </c>
      <c r="D272" t="s">
        <v>59</v>
      </c>
      <c r="E272" t="s">
        <v>66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33</v>
      </c>
      <c r="M272" t="s">
        <v>23</v>
      </c>
    </row>
    <row r="273" spans="1:13">
      <c r="A273" t="s">
        <v>340</v>
      </c>
      <c r="B273" t="s">
        <v>30</v>
      </c>
      <c r="C273">
        <v>45743</v>
      </c>
      <c r="D273" t="s">
        <v>20</v>
      </c>
      <c r="E273" t="s">
        <v>82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27</v>
      </c>
      <c r="M273" t="s">
        <v>28</v>
      </c>
    </row>
    <row r="274" spans="1:13">
      <c r="A274" t="s">
        <v>341</v>
      </c>
      <c r="B274" t="s">
        <v>25</v>
      </c>
      <c r="C274">
        <v>45577</v>
      </c>
      <c r="D274" t="s">
        <v>31</v>
      </c>
      <c r="E274" t="s">
        <v>105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33</v>
      </c>
      <c r="M274" t="s">
        <v>34</v>
      </c>
    </row>
    <row r="275" spans="1:13">
      <c r="A275" t="s">
        <v>342</v>
      </c>
      <c r="B275" t="s">
        <v>14</v>
      </c>
      <c r="C275">
        <v>45658</v>
      </c>
      <c r="D275" t="s">
        <v>39</v>
      </c>
      <c r="E275" t="s">
        <v>42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27</v>
      </c>
      <c r="M275" t="s">
        <v>34</v>
      </c>
    </row>
    <row r="276" spans="1:13">
      <c r="A276" t="s">
        <v>343</v>
      </c>
      <c r="B276" t="s">
        <v>38</v>
      </c>
      <c r="C276">
        <v>45509</v>
      </c>
      <c r="D276" t="s">
        <v>15</v>
      </c>
      <c r="E276" t="s">
        <v>53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33</v>
      </c>
      <c r="M276" t="s">
        <v>28</v>
      </c>
    </row>
    <row r="277" spans="1:13">
      <c r="A277" t="s">
        <v>344</v>
      </c>
      <c r="B277" t="s">
        <v>14</v>
      </c>
      <c r="C277">
        <v>45450</v>
      </c>
      <c r="D277" t="s">
        <v>39</v>
      </c>
      <c r="E277" t="s">
        <v>42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27</v>
      </c>
      <c r="M277" t="s">
        <v>23</v>
      </c>
    </row>
    <row r="278" spans="1:13">
      <c r="A278" t="s">
        <v>345</v>
      </c>
      <c r="B278" t="s">
        <v>38</v>
      </c>
      <c r="C278">
        <v>45753</v>
      </c>
      <c r="D278" t="s">
        <v>44</v>
      </c>
      <c r="E278" t="s">
        <v>49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51</v>
      </c>
      <c r="M278" t="s">
        <v>18</v>
      </c>
    </row>
    <row r="279" spans="1:13">
      <c r="A279" t="s">
        <v>346</v>
      </c>
      <c r="B279" t="s">
        <v>14</v>
      </c>
      <c r="C279">
        <v>45622</v>
      </c>
      <c r="D279" t="s">
        <v>20</v>
      </c>
      <c r="E279" t="s">
        <v>21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33</v>
      </c>
      <c r="M279" t="s">
        <v>34</v>
      </c>
    </row>
    <row r="280" spans="1:13">
      <c r="A280" t="s">
        <v>347</v>
      </c>
      <c r="B280" t="s">
        <v>25</v>
      </c>
      <c r="C280">
        <v>45537</v>
      </c>
      <c r="D280" t="s">
        <v>44</v>
      </c>
      <c r="E280" t="s">
        <v>45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27</v>
      </c>
      <c r="M280" t="s">
        <v>23</v>
      </c>
    </row>
    <row r="281" spans="1:13">
      <c r="A281" t="s">
        <v>348</v>
      </c>
      <c r="B281" t="s">
        <v>25</v>
      </c>
      <c r="C281">
        <v>45586</v>
      </c>
      <c r="D281" t="s">
        <v>59</v>
      </c>
      <c r="E281" t="s">
        <v>143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117</v>
      </c>
      <c r="M281" t="s">
        <v>34</v>
      </c>
    </row>
    <row r="282" spans="1:13">
      <c r="A282" t="s">
        <v>349</v>
      </c>
      <c r="B282" t="s">
        <v>25</v>
      </c>
      <c r="C282">
        <v>45738</v>
      </c>
      <c r="D282" t="s">
        <v>44</v>
      </c>
      <c r="E282" t="s">
        <v>45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33</v>
      </c>
      <c r="M282" t="s">
        <v>23</v>
      </c>
    </row>
    <row r="283" spans="1:13">
      <c r="A283" t="s">
        <v>350</v>
      </c>
      <c r="B283" t="s">
        <v>30</v>
      </c>
      <c r="C283">
        <v>45568</v>
      </c>
      <c r="D283" t="s">
        <v>59</v>
      </c>
      <c r="E283" t="s">
        <v>66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51</v>
      </c>
      <c r="M283" t="s">
        <v>28</v>
      </c>
    </row>
    <row r="284" spans="1:13">
      <c r="A284" t="s">
        <v>351</v>
      </c>
      <c r="B284" t="s">
        <v>14</v>
      </c>
      <c r="C284">
        <v>45786</v>
      </c>
      <c r="D284" t="s">
        <v>15</v>
      </c>
      <c r="E284" t="s">
        <v>16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51</v>
      </c>
      <c r="M284" t="s">
        <v>23</v>
      </c>
    </row>
    <row r="285" spans="1:13">
      <c r="A285" t="s">
        <v>352</v>
      </c>
      <c r="B285" t="s">
        <v>14</v>
      </c>
      <c r="C285">
        <v>45552</v>
      </c>
      <c r="D285" t="s">
        <v>20</v>
      </c>
      <c r="E285" t="s">
        <v>21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27</v>
      </c>
      <c r="M285" t="s">
        <v>34</v>
      </c>
    </row>
    <row r="286" spans="1:13">
      <c r="A286" t="s">
        <v>353</v>
      </c>
      <c r="B286" t="s">
        <v>25</v>
      </c>
      <c r="C286">
        <v>45491</v>
      </c>
      <c r="D286" t="s">
        <v>20</v>
      </c>
      <c r="E286" t="s">
        <v>77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33</v>
      </c>
    </row>
    <row r="287" spans="1:13">
      <c r="A287" t="s">
        <v>354</v>
      </c>
      <c r="B287" t="s">
        <v>25</v>
      </c>
      <c r="C287">
        <v>45560</v>
      </c>
      <c r="D287" t="s">
        <v>59</v>
      </c>
      <c r="E287" t="s">
        <v>143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51</v>
      </c>
      <c r="M287" t="s">
        <v>28</v>
      </c>
    </row>
    <row r="288" spans="1:13">
      <c r="A288" t="s">
        <v>355</v>
      </c>
      <c r="B288" t="s">
        <v>30</v>
      </c>
      <c r="C288">
        <v>45519</v>
      </c>
      <c r="D288" t="s">
        <v>15</v>
      </c>
      <c r="E288" t="s">
        <v>64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33</v>
      </c>
      <c r="M288" t="s">
        <v>18</v>
      </c>
    </row>
    <row r="289" spans="1:13">
      <c r="A289" t="s">
        <v>356</v>
      </c>
      <c r="B289" t="s">
        <v>25</v>
      </c>
      <c r="C289">
        <v>45764</v>
      </c>
      <c r="D289" t="s">
        <v>39</v>
      </c>
      <c r="E289" t="s">
        <v>55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51</v>
      </c>
      <c r="M289" t="s">
        <v>28</v>
      </c>
    </row>
    <row r="290" spans="1:13">
      <c r="A290" t="s">
        <v>357</v>
      </c>
      <c r="B290" t="s">
        <v>38</v>
      </c>
      <c r="C290">
        <v>45624</v>
      </c>
      <c r="D290" t="s">
        <v>39</v>
      </c>
      <c r="E290" t="s">
        <v>40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51</v>
      </c>
    </row>
    <row r="291" spans="1:13">
      <c r="A291" t="s">
        <v>358</v>
      </c>
      <c r="B291" t="s">
        <v>30</v>
      </c>
      <c r="C291">
        <v>45646</v>
      </c>
      <c r="D291" t="s">
        <v>39</v>
      </c>
      <c r="E291" t="s">
        <v>68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33</v>
      </c>
      <c r="M291" t="s">
        <v>34</v>
      </c>
    </row>
    <row r="292" spans="1:13">
      <c r="A292" t="s">
        <v>359</v>
      </c>
      <c r="B292" t="s">
        <v>38</v>
      </c>
      <c r="C292">
        <v>45602</v>
      </c>
      <c r="D292" t="s">
        <v>59</v>
      </c>
      <c r="E292" t="s">
        <v>60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33</v>
      </c>
      <c r="M292" t="s">
        <v>34</v>
      </c>
    </row>
    <row r="293" spans="1:13">
      <c r="A293" t="s">
        <v>360</v>
      </c>
      <c r="B293" t="s">
        <v>38</v>
      </c>
      <c r="C293">
        <v>45613</v>
      </c>
      <c r="D293" t="s">
        <v>20</v>
      </c>
      <c r="E293" t="s">
        <v>47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72</v>
      </c>
    </row>
    <row r="294" spans="1:13">
      <c r="A294" t="s">
        <v>361</v>
      </c>
      <c r="B294" t="s">
        <v>38</v>
      </c>
      <c r="C294">
        <v>45791</v>
      </c>
      <c r="D294" t="s">
        <v>20</v>
      </c>
      <c r="E294" t="s">
        <v>47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33</v>
      </c>
      <c r="M294" t="s">
        <v>18</v>
      </c>
    </row>
    <row r="295" spans="1:13">
      <c r="A295" t="s">
        <v>362</v>
      </c>
      <c r="B295" t="s">
        <v>38</v>
      </c>
      <c r="C295">
        <v>45462</v>
      </c>
      <c r="D295" t="s">
        <v>39</v>
      </c>
      <c r="E295" t="s">
        <v>40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33</v>
      </c>
      <c r="M295" t="s">
        <v>28</v>
      </c>
    </row>
    <row r="296" spans="1:13">
      <c r="A296" t="s">
        <v>363</v>
      </c>
      <c r="B296" t="s">
        <v>14</v>
      </c>
      <c r="C296">
        <v>45783</v>
      </c>
      <c r="D296" t="s">
        <v>44</v>
      </c>
      <c r="E296" t="s">
        <v>92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141</v>
      </c>
      <c r="M296" t="s">
        <v>23</v>
      </c>
    </row>
    <row r="297" spans="1:13">
      <c r="A297" t="s">
        <v>364</v>
      </c>
      <c r="B297" t="s">
        <v>14</v>
      </c>
      <c r="C297">
        <v>45699</v>
      </c>
      <c r="D297" t="s">
        <v>59</v>
      </c>
      <c r="E297" t="s">
        <v>99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268</v>
      </c>
      <c r="M297" t="s">
        <v>34</v>
      </c>
    </row>
    <row r="298" spans="1:13">
      <c r="A298" t="s">
        <v>365</v>
      </c>
      <c r="B298" t="s">
        <v>14</v>
      </c>
      <c r="C298">
        <v>45650</v>
      </c>
      <c r="D298" t="s">
        <v>20</v>
      </c>
      <c r="E298" t="s">
        <v>21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33</v>
      </c>
      <c r="M298" t="s">
        <v>34</v>
      </c>
    </row>
    <row r="299" spans="1:13">
      <c r="A299" t="s">
        <v>366</v>
      </c>
      <c r="B299" t="s">
        <v>38</v>
      </c>
      <c r="C299">
        <v>45589</v>
      </c>
      <c r="D299" t="s">
        <v>44</v>
      </c>
      <c r="E299" t="s">
        <v>49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27</v>
      </c>
      <c r="M299" t="s">
        <v>28</v>
      </c>
    </row>
    <row r="300" spans="1:13">
      <c r="A300" t="s">
        <v>367</v>
      </c>
      <c r="B300" t="s">
        <v>38</v>
      </c>
      <c r="C300">
        <v>45530</v>
      </c>
      <c r="D300" t="s">
        <v>44</v>
      </c>
      <c r="E300" t="s">
        <v>49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51</v>
      </c>
      <c r="M300" t="s">
        <v>28</v>
      </c>
    </row>
    <row r="301" spans="1:13">
      <c r="A301" t="s">
        <v>368</v>
      </c>
      <c r="B301" t="s">
        <v>14</v>
      </c>
      <c r="C301">
        <v>45535</v>
      </c>
      <c r="D301" t="s">
        <v>39</v>
      </c>
      <c r="E301" t="s">
        <v>42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328</v>
      </c>
      <c r="M30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0781E-F7B2-412E-AFBB-9165DED526D1}">
  <dimension ref="A1:K301"/>
  <sheetViews>
    <sheetView workbookViewId="0">
      <selection activeCell="I1" activeCellId="1" sqref="H1:H1048576 I1:I1048576"/>
    </sheetView>
  </sheetViews>
  <sheetFormatPr defaultRowHeight="14.4"/>
  <cols>
    <col min="2" max="2" width="10" customWidth="1"/>
    <col min="3" max="3" width="13.796875" customWidth="1"/>
    <col min="6" max="6" width="11.69921875" customWidth="1"/>
    <col min="7" max="7" width="12.59765625" customWidth="1"/>
    <col min="9" max="9" width="36.19921875" customWidth="1"/>
    <col min="10" max="10" width="17.796875" customWidth="1"/>
    <col min="11" max="11" width="18.796875" customWidth="1"/>
  </cols>
  <sheetData>
    <row r="1" spans="1:11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11</v>
      </c>
      <c r="J1" s="1" t="s">
        <v>369</v>
      </c>
      <c r="K1" t="s">
        <v>370</v>
      </c>
    </row>
    <row r="2" spans="1:11">
      <c r="A2" t="s">
        <v>120</v>
      </c>
      <c r="B2" t="s">
        <v>14</v>
      </c>
      <c r="C2" t="s">
        <v>39</v>
      </c>
      <c r="D2">
        <v>4507</v>
      </c>
      <c r="E2">
        <v>217</v>
      </c>
      <c r="F2">
        <v>13</v>
      </c>
      <c r="G2">
        <v>90140</v>
      </c>
      <c r="H2">
        <v>125</v>
      </c>
      <c r="I2" t="s">
        <v>51</v>
      </c>
      <c r="J2">
        <f t="shared" ref="J2:J65" si="0">D2 + E2 + F2</f>
        <v>4737</v>
      </c>
      <c r="K2">
        <f t="shared" ref="K2:K65" si="1">G2/J2</f>
        <v>19.028921258180283</v>
      </c>
    </row>
    <row r="3" spans="1:11">
      <c r="A3" t="s">
        <v>238</v>
      </c>
      <c r="B3" t="s">
        <v>38</v>
      </c>
      <c r="C3" t="s">
        <v>59</v>
      </c>
      <c r="D3">
        <v>3798</v>
      </c>
      <c r="E3">
        <v>31</v>
      </c>
      <c r="F3">
        <v>279</v>
      </c>
      <c r="G3">
        <v>75960</v>
      </c>
      <c r="H3">
        <v>266</v>
      </c>
      <c r="I3" t="s">
        <v>27</v>
      </c>
      <c r="J3">
        <f t="shared" si="0"/>
        <v>4108</v>
      </c>
      <c r="K3">
        <f t="shared" si="1"/>
        <v>18.490749756572541</v>
      </c>
    </row>
    <row r="4" spans="1:11">
      <c r="A4" t="s">
        <v>24</v>
      </c>
      <c r="B4" t="s">
        <v>25</v>
      </c>
      <c r="C4" t="s">
        <v>15</v>
      </c>
      <c r="D4">
        <v>2795</v>
      </c>
      <c r="E4">
        <v>105</v>
      </c>
      <c r="F4">
        <v>49</v>
      </c>
      <c r="G4">
        <v>53105</v>
      </c>
      <c r="H4">
        <v>204</v>
      </c>
      <c r="I4" t="s">
        <v>27</v>
      </c>
      <c r="J4">
        <f t="shared" si="0"/>
        <v>2949</v>
      </c>
      <c r="K4">
        <f t="shared" si="1"/>
        <v>18.007799253984402</v>
      </c>
    </row>
    <row r="5" spans="1:11">
      <c r="A5" t="s">
        <v>252</v>
      </c>
      <c r="B5" t="s">
        <v>25</v>
      </c>
      <c r="C5" t="s">
        <v>20</v>
      </c>
      <c r="D5">
        <v>1963</v>
      </c>
      <c r="E5">
        <v>213</v>
      </c>
      <c r="F5">
        <v>19</v>
      </c>
      <c r="G5">
        <v>39260</v>
      </c>
      <c r="H5">
        <v>145</v>
      </c>
      <c r="I5" t="s">
        <v>51</v>
      </c>
      <c r="J5">
        <f t="shared" si="0"/>
        <v>2195</v>
      </c>
      <c r="K5">
        <f t="shared" si="1"/>
        <v>17.886104783599087</v>
      </c>
    </row>
    <row r="6" spans="1:11">
      <c r="A6" t="s">
        <v>206</v>
      </c>
      <c r="B6" t="s">
        <v>30</v>
      </c>
      <c r="C6" t="s">
        <v>39</v>
      </c>
      <c r="D6">
        <v>1878</v>
      </c>
      <c r="E6">
        <v>62</v>
      </c>
      <c r="F6">
        <v>179</v>
      </c>
      <c r="G6">
        <v>37560</v>
      </c>
      <c r="H6">
        <v>142</v>
      </c>
      <c r="I6" t="s">
        <v>27</v>
      </c>
      <c r="J6">
        <f t="shared" si="0"/>
        <v>2119</v>
      </c>
      <c r="K6">
        <f t="shared" si="1"/>
        <v>17.725342142520056</v>
      </c>
    </row>
    <row r="7" spans="1:11">
      <c r="A7" t="s">
        <v>289</v>
      </c>
      <c r="B7" t="s">
        <v>14</v>
      </c>
      <c r="C7" t="s">
        <v>39</v>
      </c>
      <c r="D7">
        <v>4672</v>
      </c>
      <c r="E7">
        <v>325</v>
      </c>
      <c r="F7">
        <v>32</v>
      </c>
      <c r="G7">
        <v>88768</v>
      </c>
      <c r="H7">
        <v>118</v>
      </c>
      <c r="I7" t="s">
        <v>33</v>
      </c>
      <c r="J7">
        <f t="shared" si="0"/>
        <v>5029</v>
      </c>
      <c r="K7">
        <f t="shared" si="1"/>
        <v>17.651222907138596</v>
      </c>
    </row>
    <row r="8" spans="1:11">
      <c r="A8" t="s">
        <v>265</v>
      </c>
      <c r="B8" t="s">
        <v>30</v>
      </c>
      <c r="C8" t="s">
        <v>39</v>
      </c>
      <c r="D8">
        <v>3773</v>
      </c>
      <c r="E8">
        <v>299</v>
      </c>
      <c r="F8">
        <v>38</v>
      </c>
      <c r="G8">
        <v>71687</v>
      </c>
      <c r="H8">
        <v>286</v>
      </c>
      <c r="I8" t="s">
        <v>51</v>
      </c>
      <c r="J8">
        <f t="shared" si="0"/>
        <v>4110</v>
      </c>
      <c r="K8">
        <f t="shared" si="1"/>
        <v>17.442092457420923</v>
      </c>
    </row>
    <row r="9" spans="1:11">
      <c r="A9" t="s">
        <v>80</v>
      </c>
      <c r="B9" t="s">
        <v>30</v>
      </c>
      <c r="C9" t="s">
        <v>59</v>
      </c>
      <c r="D9">
        <v>3095</v>
      </c>
      <c r="E9">
        <v>39</v>
      </c>
      <c r="F9">
        <v>78</v>
      </c>
      <c r="G9">
        <v>55710</v>
      </c>
      <c r="H9">
        <v>93</v>
      </c>
      <c r="I9" t="s">
        <v>33</v>
      </c>
      <c r="J9">
        <f t="shared" si="0"/>
        <v>3212</v>
      </c>
      <c r="K9">
        <f t="shared" si="1"/>
        <v>17.344333748443336</v>
      </c>
    </row>
    <row r="10" spans="1:11">
      <c r="A10" t="s">
        <v>322</v>
      </c>
      <c r="B10" t="s">
        <v>25</v>
      </c>
      <c r="C10" t="s">
        <v>39</v>
      </c>
      <c r="D10">
        <v>2143</v>
      </c>
      <c r="E10">
        <v>12</v>
      </c>
      <c r="F10">
        <v>204</v>
      </c>
      <c r="G10">
        <v>40717</v>
      </c>
      <c r="H10">
        <v>248</v>
      </c>
      <c r="I10" t="s">
        <v>33</v>
      </c>
      <c r="J10">
        <f t="shared" si="0"/>
        <v>2359</v>
      </c>
      <c r="K10">
        <f t="shared" si="1"/>
        <v>17.260279779567615</v>
      </c>
    </row>
    <row r="11" spans="1:11">
      <c r="A11" t="s">
        <v>351</v>
      </c>
      <c r="B11" t="s">
        <v>14</v>
      </c>
      <c r="C11" t="s">
        <v>15</v>
      </c>
      <c r="D11">
        <v>3367</v>
      </c>
      <c r="E11">
        <v>302</v>
      </c>
      <c r="F11">
        <v>57</v>
      </c>
      <c r="G11">
        <v>63973</v>
      </c>
      <c r="H11">
        <v>157</v>
      </c>
      <c r="I11" t="s">
        <v>51</v>
      </c>
      <c r="J11">
        <f t="shared" si="0"/>
        <v>3726</v>
      </c>
      <c r="K11">
        <f t="shared" si="1"/>
        <v>17.169350509930219</v>
      </c>
    </row>
    <row r="12" spans="1:11">
      <c r="A12" t="s">
        <v>279</v>
      </c>
      <c r="B12" t="s">
        <v>25</v>
      </c>
      <c r="C12" t="s">
        <v>31</v>
      </c>
      <c r="D12">
        <v>1509</v>
      </c>
      <c r="E12">
        <v>88</v>
      </c>
      <c r="F12">
        <v>163</v>
      </c>
      <c r="G12">
        <v>30180</v>
      </c>
      <c r="H12">
        <v>119</v>
      </c>
      <c r="I12" t="s">
        <v>33</v>
      </c>
      <c r="J12">
        <f t="shared" si="0"/>
        <v>1760</v>
      </c>
      <c r="K12">
        <f t="shared" si="1"/>
        <v>17.147727272727273</v>
      </c>
    </row>
    <row r="13" spans="1:11">
      <c r="A13" t="s">
        <v>366</v>
      </c>
      <c r="B13" t="s">
        <v>38</v>
      </c>
      <c r="C13" t="s">
        <v>44</v>
      </c>
      <c r="D13">
        <v>4303</v>
      </c>
      <c r="E13">
        <v>451</v>
      </c>
      <c r="F13">
        <v>286</v>
      </c>
      <c r="G13">
        <v>86060</v>
      </c>
      <c r="H13">
        <v>14</v>
      </c>
      <c r="I13" t="s">
        <v>27</v>
      </c>
      <c r="J13">
        <f t="shared" si="0"/>
        <v>5040</v>
      </c>
      <c r="K13">
        <f t="shared" si="1"/>
        <v>17.075396825396826</v>
      </c>
    </row>
    <row r="14" spans="1:11">
      <c r="A14" t="s">
        <v>364</v>
      </c>
      <c r="B14" t="s">
        <v>14</v>
      </c>
      <c r="C14" t="s">
        <v>59</v>
      </c>
      <c r="D14">
        <v>3440</v>
      </c>
      <c r="E14">
        <v>13</v>
      </c>
      <c r="F14">
        <v>20</v>
      </c>
      <c r="G14">
        <v>58480</v>
      </c>
      <c r="H14">
        <v>210</v>
      </c>
      <c r="I14" t="s">
        <v>268</v>
      </c>
      <c r="J14">
        <f t="shared" si="0"/>
        <v>3473</v>
      </c>
      <c r="K14">
        <f t="shared" si="1"/>
        <v>16.838468183126981</v>
      </c>
    </row>
    <row r="15" spans="1:11">
      <c r="A15" t="s">
        <v>58</v>
      </c>
      <c r="B15" t="s">
        <v>38</v>
      </c>
      <c r="C15" t="s">
        <v>59</v>
      </c>
      <c r="D15">
        <v>3888</v>
      </c>
      <c r="E15">
        <v>604</v>
      </c>
      <c r="F15">
        <v>128</v>
      </c>
      <c r="G15">
        <v>77760</v>
      </c>
      <c r="H15">
        <v>20</v>
      </c>
      <c r="I15" t="s">
        <v>51</v>
      </c>
      <c r="J15">
        <f t="shared" si="0"/>
        <v>4620</v>
      </c>
      <c r="K15">
        <f t="shared" si="1"/>
        <v>16.831168831168831</v>
      </c>
    </row>
    <row r="16" spans="1:11">
      <c r="A16" t="s">
        <v>74</v>
      </c>
      <c r="B16" t="s">
        <v>14</v>
      </c>
      <c r="C16" t="s">
        <v>39</v>
      </c>
      <c r="D16">
        <v>3128</v>
      </c>
      <c r="E16">
        <v>211</v>
      </c>
      <c r="F16">
        <v>197</v>
      </c>
      <c r="G16">
        <v>59432</v>
      </c>
      <c r="H16">
        <v>238</v>
      </c>
      <c r="I16" t="s">
        <v>33</v>
      </c>
      <c r="J16">
        <f t="shared" si="0"/>
        <v>3536</v>
      </c>
      <c r="K16">
        <f t="shared" si="1"/>
        <v>16.807692307692307</v>
      </c>
    </row>
    <row r="17" spans="1:11">
      <c r="A17" t="s">
        <v>347</v>
      </c>
      <c r="B17" t="s">
        <v>25</v>
      </c>
      <c r="C17" t="s">
        <v>44</v>
      </c>
      <c r="D17">
        <v>4905</v>
      </c>
      <c r="E17">
        <v>845</v>
      </c>
      <c r="F17">
        <v>129</v>
      </c>
      <c r="G17">
        <v>98100</v>
      </c>
      <c r="H17">
        <v>279</v>
      </c>
      <c r="I17" t="s">
        <v>27</v>
      </c>
      <c r="J17">
        <f t="shared" si="0"/>
        <v>5879</v>
      </c>
      <c r="K17">
        <f t="shared" si="1"/>
        <v>16.686511311447525</v>
      </c>
    </row>
    <row r="18" spans="1:11">
      <c r="A18" t="s">
        <v>287</v>
      </c>
      <c r="B18" t="s">
        <v>14</v>
      </c>
      <c r="C18" t="s">
        <v>44</v>
      </c>
      <c r="D18">
        <v>3338</v>
      </c>
      <c r="E18">
        <v>277</v>
      </c>
      <c r="F18">
        <v>118</v>
      </c>
      <c r="G18">
        <v>60084</v>
      </c>
      <c r="H18">
        <v>252</v>
      </c>
      <c r="I18" t="s">
        <v>27</v>
      </c>
      <c r="J18">
        <f t="shared" si="0"/>
        <v>3733</v>
      </c>
      <c r="K18">
        <f t="shared" si="1"/>
        <v>16.095365657648003</v>
      </c>
    </row>
    <row r="19" spans="1:11">
      <c r="A19" t="s">
        <v>175</v>
      </c>
      <c r="B19" t="s">
        <v>14</v>
      </c>
      <c r="C19" t="s">
        <v>44</v>
      </c>
      <c r="D19">
        <v>2493</v>
      </c>
      <c r="E19">
        <v>97</v>
      </c>
      <c r="F19">
        <v>44</v>
      </c>
      <c r="G19">
        <v>42381</v>
      </c>
      <c r="H19">
        <v>242</v>
      </c>
      <c r="I19" t="s">
        <v>72</v>
      </c>
      <c r="J19">
        <f t="shared" si="0"/>
        <v>2634</v>
      </c>
      <c r="K19">
        <f t="shared" si="1"/>
        <v>16.089977220956719</v>
      </c>
    </row>
    <row r="20" spans="1:11">
      <c r="A20" t="s">
        <v>167</v>
      </c>
      <c r="B20" t="s">
        <v>25</v>
      </c>
      <c r="C20" t="s">
        <v>44</v>
      </c>
      <c r="D20">
        <v>4832</v>
      </c>
      <c r="E20">
        <v>893</v>
      </c>
      <c r="F20">
        <v>10</v>
      </c>
      <c r="G20">
        <v>91808</v>
      </c>
      <c r="H20">
        <v>182</v>
      </c>
      <c r="I20" t="s">
        <v>27</v>
      </c>
      <c r="J20">
        <f t="shared" si="0"/>
        <v>5735</v>
      </c>
      <c r="K20">
        <f t="shared" si="1"/>
        <v>16.008369659982563</v>
      </c>
    </row>
    <row r="21" spans="1:11">
      <c r="A21" t="s">
        <v>262</v>
      </c>
      <c r="B21" t="s">
        <v>38</v>
      </c>
      <c r="C21" t="s">
        <v>15</v>
      </c>
      <c r="D21">
        <v>3718</v>
      </c>
      <c r="E21">
        <v>385</v>
      </c>
      <c r="F21">
        <v>310</v>
      </c>
      <c r="G21">
        <v>70642</v>
      </c>
      <c r="H21">
        <v>233</v>
      </c>
      <c r="I21" t="s">
        <v>27</v>
      </c>
      <c r="J21">
        <f t="shared" si="0"/>
        <v>4413</v>
      </c>
      <c r="K21">
        <f t="shared" si="1"/>
        <v>16.007704509404032</v>
      </c>
    </row>
    <row r="22" spans="1:11">
      <c r="A22" t="s">
        <v>280</v>
      </c>
      <c r="B22" t="s">
        <v>38</v>
      </c>
      <c r="C22" t="s">
        <v>44</v>
      </c>
      <c r="D22">
        <v>4606</v>
      </c>
      <c r="E22">
        <v>931</v>
      </c>
      <c r="F22">
        <v>230</v>
      </c>
      <c r="G22">
        <v>92120</v>
      </c>
      <c r="H22">
        <v>56</v>
      </c>
      <c r="I22" t="s">
        <v>27</v>
      </c>
      <c r="J22">
        <f t="shared" si="0"/>
        <v>5767</v>
      </c>
      <c r="K22">
        <f t="shared" si="1"/>
        <v>15.973643142014913</v>
      </c>
    </row>
    <row r="23" spans="1:11">
      <c r="A23" t="s">
        <v>349</v>
      </c>
      <c r="B23" t="s">
        <v>25</v>
      </c>
      <c r="C23" t="s">
        <v>44</v>
      </c>
      <c r="D23">
        <v>3166</v>
      </c>
      <c r="E23">
        <v>90</v>
      </c>
      <c r="F23">
        <v>341</v>
      </c>
      <c r="G23">
        <v>56988</v>
      </c>
      <c r="H23">
        <v>135</v>
      </c>
      <c r="I23" t="s">
        <v>33</v>
      </c>
      <c r="J23">
        <f t="shared" si="0"/>
        <v>3597</v>
      </c>
      <c r="K23">
        <f t="shared" si="1"/>
        <v>15.843202668890742</v>
      </c>
    </row>
    <row r="24" spans="1:11">
      <c r="A24" t="s">
        <v>212</v>
      </c>
      <c r="B24" t="s">
        <v>25</v>
      </c>
      <c r="C24" t="s">
        <v>39</v>
      </c>
      <c r="D24">
        <v>4295</v>
      </c>
      <c r="E24">
        <v>853</v>
      </c>
      <c r="F24">
        <v>325</v>
      </c>
      <c r="G24">
        <v>85900</v>
      </c>
      <c r="H24">
        <v>290</v>
      </c>
      <c r="I24" t="s">
        <v>27</v>
      </c>
      <c r="J24">
        <f t="shared" si="0"/>
        <v>5473</v>
      </c>
      <c r="K24">
        <f t="shared" si="1"/>
        <v>15.695231134661064</v>
      </c>
    </row>
    <row r="25" spans="1:11">
      <c r="A25" t="s">
        <v>124</v>
      </c>
      <c r="B25" t="s">
        <v>38</v>
      </c>
      <c r="C25" t="s">
        <v>39</v>
      </c>
      <c r="D25">
        <v>4712</v>
      </c>
      <c r="E25">
        <v>568</v>
      </c>
      <c r="F25">
        <v>127</v>
      </c>
      <c r="G25">
        <v>84816</v>
      </c>
      <c r="H25">
        <v>100</v>
      </c>
      <c r="I25" t="s">
        <v>33</v>
      </c>
      <c r="J25">
        <f t="shared" si="0"/>
        <v>5407</v>
      </c>
      <c r="K25">
        <f t="shared" si="1"/>
        <v>15.686332531903089</v>
      </c>
    </row>
    <row r="26" spans="1:11">
      <c r="A26" t="s">
        <v>67</v>
      </c>
      <c r="B26" t="s">
        <v>30</v>
      </c>
      <c r="C26" t="s">
        <v>39</v>
      </c>
      <c r="D26">
        <v>4054</v>
      </c>
      <c r="E26">
        <v>488</v>
      </c>
      <c r="F26">
        <v>373</v>
      </c>
      <c r="G26">
        <v>77026</v>
      </c>
      <c r="H26">
        <v>25</v>
      </c>
      <c r="I26" t="s">
        <v>27</v>
      </c>
      <c r="J26">
        <f t="shared" si="0"/>
        <v>4915</v>
      </c>
      <c r="K26">
        <f t="shared" si="1"/>
        <v>15.671617497456765</v>
      </c>
    </row>
    <row r="27" spans="1:11">
      <c r="A27" t="s">
        <v>335</v>
      </c>
      <c r="B27" t="s">
        <v>14</v>
      </c>
      <c r="C27" t="s">
        <v>15</v>
      </c>
      <c r="D27">
        <v>4187</v>
      </c>
      <c r="E27">
        <v>66</v>
      </c>
      <c r="F27">
        <v>31</v>
      </c>
      <c r="G27">
        <v>66992</v>
      </c>
      <c r="H27">
        <v>62</v>
      </c>
      <c r="I27" t="s">
        <v>51</v>
      </c>
      <c r="J27">
        <f t="shared" si="0"/>
        <v>4284</v>
      </c>
      <c r="K27">
        <f t="shared" si="1"/>
        <v>15.637721755368814</v>
      </c>
    </row>
    <row r="28" spans="1:11">
      <c r="A28" t="s">
        <v>130</v>
      </c>
      <c r="B28" t="s">
        <v>38</v>
      </c>
      <c r="C28" t="s">
        <v>31</v>
      </c>
      <c r="D28">
        <v>4126</v>
      </c>
      <c r="E28">
        <v>426</v>
      </c>
      <c r="F28">
        <v>486</v>
      </c>
      <c r="G28">
        <v>78394</v>
      </c>
      <c r="H28">
        <v>88</v>
      </c>
      <c r="I28" t="s">
        <v>51</v>
      </c>
      <c r="J28">
        <f t="shared" si="0"/>
        <v>5038</v>
      </c>
      <c r="K28">
        <f t="shared" si="1"/>
        <v>15.560539896784439</v>
      </c>
    </row>
    <row r="29" spans="1:11">
      <c r="A29" t="s">
        <v>195</v>
      </c>
      <c r="B29" t="s">
        <v>38</v>
      </c>
      <c r="C29" t="s">
        <v>20</v>
      </c>
      <c r="D29">
        <v>4213</v>
      </c>
      <c r="E29">
        <v>253</v>
      </c>
      <c r="F29">
        <v>434</v>
      </c>
      <c r="G29">
        <v>75834</v>
      </c>
      <c r="H29">
        <v>272</v>
      </c>
      <c r="I29" t="s">
        <v>51</v>
      </c>
      <c r="J29">
        <f t="shared" si="0"/>
        <v>4900</v>
      </c>
      <c r="K29">
        <f t="shared" si="1"/>
        <v>15.476326530612244</v>
      </c>
    </row>
    <row r="30" spans="1:11">
      <c r="A30" t="s">
        <v>259</v>
      </c>
      <c r="B30" t="s">
        <v>14</v>
      </c>
      <c r="C30" t="s">
        <v>15</v>
      </c>
      <c r="D30">
        <v>4782</v>
      </c>
      <c r="E30">
        <v>721</v>
      </c>
      <c r="F30">
        <v>82</v>
      </c>
      <c r="G30">
        <v>86076</v>
      </c>
      <c r="H30">
        <v>19</v>
      </c>
      <c r="I30" t="s">
        <v>33</v>
      </c>
      <c r="J30">
        <f t="shared" si="0"/>
        <v>5585</v>
      </c>
      <c r="K30">
        <f t="shared" si="1"/>
        <v>15.41199641897941</v>
      </c>
    </row>
    <row r="31" spans="1:11">
      <c r="A31" t="s">
        <v>205</v>
      </c>
      <c r="B31" t="s">
        <v>25</v>
      </c>
      <c r="C31" t="s">
        <v>31</v>
      </c>
      <c r="D31">
        <v>4929</v>
      </c>
      <c r="E31">
        <v>749</v>
      </c>
      <c r="F31">
        <v>452</v>
      </c>
      <c r="G31">
        <v>93651</v>
      </c>
      <c r="H31">
        <v>66</v>
      </c>
      <c r="I31" t="s">
        <v>33</v>
      </c>
      <c r="J31">
        <f t="shared" si="0"/>
        <v>6130</v>
      </c>
      <c r="K31">
        <f t="shared" si="1"/>
        <v>15.277487765089722</v>
      </c>
    </row>
    <row r="32" spans="1:11">
      <c r="A32" t="s">
        <v>146</v>
      </c>
      <c r="B32" t="s">
        <v>25</v>
      </c>
      <c r="C32" t="s">
        <v>20</v>
      </c>
      <c r="D32">
        <v>3428</v>
      </c>
      <c r="E32">
        <v>305</v>
      </c>
      <c r="F32">
        <v>85</v>
      </c>
      <c r="G32">
        <v>58276</v>
      </c>
      <c r="H32">
        <v>242</v>
      </c>
      <c r="I32" t="s">
        <v>109</v>
      </c>
      <c r="J32">
        <f t="shared" si="0"/>
        <v>3818</v>
      </c>
      <c r="K32">
        <f t="shared" si="1"/>
        <v>15.263488737558932</v>
      </c>
    </row>
    <row r="33" spans="1:11">
      <c r="A33" t="s">
        <v>35</v>
      </c>
      <c r="B33" t="s">
        <v>25</v>
      </c>
      <c r="C33" t="s">
        <v>15</v>
      </c>
      <c r="D33">
        <v>3557</v>
      </c>
      <c r="E33">
        <v>687</v>
      </c>
      <c r="F33">
        <v>424</v>
      </c>
      <c r="G33">
        <v>71140</v>
      </c>
      <c r="H33">
        <v>224</v>
      </c>
      <c r="I33" t="s">
        <v>36</v>
      </c>
      <c r="J33">
        <f t="shared" si="0"/>
        <v>4668</v>
      </c>
      <c r="K33">
        <f t="shared" si="1"/>
        <v>15.23993144815767</v>
      </c>
    </row>
    <row r="34" spans="1:11">
      <c r="A34" t="s">
        <v>338</v>
      </c>
      <c r="B34" t="s">
        <v>25</v>
      </c>
      <c r="C34" t="s">
        <v>15</v>
      </c>
      <c r="D34">
        <v>3774</v>
      </c>
      <c r="E34">
        <v>239</v>
      </c>
      <c r="F34">
        <v>39</v>
      </c>
      <c r="G34">
        <v>60384</v>
      </c>
      <c r="H34">
        <v>241</v>
      </c>
      <c r="I34" t="s">
        <v>27</v>
      </c>
      <c r="J34">
        <f t="shared" si="0"/>
        <v>4052</v>
      </c>
      <c r="K34">
        <f t="shared" si="1"/>
        <v>14.902270483711748</v>
      </c>
    </row>
    <row r="35" spans="1:11">
      <c r="A35" t="s">
        <v>302</v>
      </c>
      <c r="B35" t="s">
        <v>30</v>
      </c>
      <c r="C35" t="s">
        <v>31</v>
      </c>
      <c r="D35">
        <v>3770</v>
      </c>
      <c r="E35">
        <v>917</v>
      </c>
      <c r="F35">
        <v>129</v>
      </c>
      <c r="G35">
        <v>71630</v>
      </c>
      <c r="H35">
        <v>76</v>
      </c>
      <c r="I35" t="s">
        <v>51</v>
      </c>
      <c r="J35">
        <f t="shared" si="0"/>
        <v>4816</v>
      </c>
      <c r="K35">
        <f t="shared" si="1"/>
        <v>14.873338870431894</v>
      </c>
    </row>
    <row r="36" spans="1:11">
      <c r="A36" t="s">
        <v>356</v>
      </c>
      <c r="B36" t="s">
        <v>25</v>
      </c>
      <c r="C36" t="s">
        <v>39</v>
      </c>
      <c r="D36">
        <v>4780</v>
      </c>
      <c r="E36">
        <v>691</v>
      </c>
      <c r="F36">
        <v>380</v>
      </c>
      <c r="G36">
        <v>86040</v>
      </c>
      <c r="H36">
        <v>262</v>
      </c>
      <c r="I36" t="s">
        <v>51</v>
      </c>
      <c r="J36">
        <f t="shared" si="0"/>
        <v>5851</v>
      </c>
      <c r="K36">
        <f t="shared" si="1"/>
        <v>14.705178601948385</v>
      </c>
    </row>
    <row r="37" spans="1:11">
      <c r="A37" t="s">
        <v>155</v>
      </c>
      <c r="B37" t="s">
        <v>30</v>
      </c>
      <c r="C37" t="s">
        <v>20</v>
      </c>
      <c r="D37">
        <v>3182</v>
      </c>
      <c r="E37">
        <v>559</v>
      </c>
      <c r="F37">
        <v>160</v>
      </c>
      <c r="G37">
        <v>57276</v>
      </c>
      <c r="H37">
        <v>163</v>
      </c>
      <c r="I37" t="s">
        <v>51</v>
      </c>
      <c r="J37">
        <f t="shared" si="0"/>
        <v>3901</v>
      </c>
      <c r="K37">
        <f t="shared" si="1"/>
        <v>14.682389130992053</v>
      </c>
    </row>
    <row r="38" spans="1:11">
      <c r="A38" t="s">
        <v>232</v>
      </c>
      <c r="B38" t="s">
        <v>14</v>
      </c>
      <c r="C38" t="s">
        <v>20</v>
      </c>
      <c r="D38">
        <v>3577</v>
      </c>
      <c r="E38">
        <v>596</v>
      </c>
      <c r="F38">
        <v>493</v>
      </c>
      <c r="G38">
        <v>67963</v>
      </c>
      <c r="H38">
        <v>53</v>
      </c>
      <c r="I38" t="s">
        <v>27</v>
      </c>
      <c r="J38">
        <f t="shared" si="0"/>
        <v>4666</v>
      </c>
      <c r="K38">
        <f t="shared" si="1"/>
        <v>14.56558079725675</v>
      </c>
    </row>
    <row r="39" spans="1:11">
      <c r="A39" t="s">
        <v>187</v>
      </c>
      <c r="B39" t="s">
        <v>38</v>
      </c>
      <c r="C39" t="s">
        <v>15</v>
      </c>
      <c r="D39">
        <v>3452</v>
      </c>
      <c r="E39">
        <v>652</v>
      </c>
      <c r="F39">
        <v>442</v>
      </c>
      <c r="G39">
        <v>65588</v>
      </c>
      <c r="H39">
        <v>158</v>
      </c>
      <c r="I39" t="s">
        <v>51</v>
      </c>
      <c r="J39">
        <f t="shared" si="0"/>
        <v>4546</v>
      </c>
      <c r="K39">
        <f t="shared" si="1"/>
        <v>14.427628684557853</v>
      </c>
    </row>
    <row r="40" spans="1:11">
      <c r="A40" t="s">
        <v>203</v>
      </c>
      <c r="B40" t="s">
        <v>25</v>
      </c>
      <c r="C40" t="s">
        <v>31</v>
      </c>
      <c r="D40">
        <v>2070</v>
      </c>
      <c r="E40">
        <v>275</v>
      </c>
      <c r="F40">
        <v>386</v>
      </c>
      <c r="G40">
        <v>39330</v>
      </c>
      <c r="H40">
        <v>114</v>
      </c>
      <c r="I40" t="s">
        <v>51</v>
      </c>
      <c r="J40">
        <f t="shared" si="0"/>
        <v>2731</v>
      </c>
      <c r="K40">
        <f t="shared" si="1"/>
        <v>14.401318198462102</v>
      </c>
    </row>
    <row r="41" spans="1:11">
      <c r="A41" t="s">
        <v>41</v>
      </c>
      <c r="B41" t="s">
        <v>14</v>
      </c>
      <c r="C41" t="s">
        <v>39</v>
      </c>
      <c r="D41">
        <v>3860</v>
      </c>
      <c r="E41">
        <v>201</v>
      </c>
      <c r="F41">
        <v>279</v>
      </c>
      <c r="G41">
        <v>61760</v>
      </c>
      <c r="H41">
        <v>235</v>
      </c>
      <c r="I41" t="s">
        <v>27</v>
      </c>
      <c r="J41">
        <f t="shared" si="0"/>
        <v>4340</v>
      </c>
      <c r="K41">
        <f t="shared" si="1"/>
        <v>14.230414746543779</v>
      </c>
    </row>
    <row r="42" spans="1:11">
      <c r="A42" t="s">
        <v>85</v>
      </c>
      <c r="B42" t="s">
        <v>38</v>
      </c>
      <c r="C42" t="s">
        <v>20</v>
      </c>
      <c r="D42">
        <v>1652</v>
      </c>
      <c r="E42">
        <v>89</v>
      </c>
      <c r="F42">
        <v>357</v>
      </c>
      <c r="G42">
        <v>29736</v>
      </c>
      <c r="H42">
        <v>215</v>
      </c>
      <c r="I42" t="s">
        <v>27</v>
      </c>
      <c r="J42">
        <f t="shared" si="0"/>
        <v>2098</v>
      </c>
      <c r="K42">
        <f t="shared" si="1"/>
        <v>14.17349857006673</v>
      </c>
    </row>
    <row r="43" spans="1:11">
      <c r="A43" t="s">
        <v>150</v>
      </c>
      <c r="B43" t="s">
        <v>30</v>
      </c>
      <c r="C43" t="s">
        <v>44</v>
      </c>
      <c r="D43">
        <v>3861</v>
      </c>
      <c r="E43">
        <v>960</v>
      </c>
      <c r="F43">
        <v>101</v>
      </c>
      <c r="G43">
        <v>69498</v>
      </c>
      <c r="H43">
        <v>297</v>
      </c>
      <c r="I43" t="s">
        <v>27</v>
      </c>
      <c r="J43">
        <f t="shared" si="0"/>
        <v>4922</v>
      </c>
      <c r="K43">
        <f t="shared" si="1"/>
        <v>14.119869971556279</v>
      </c>
    </row>
    <row r="44" spans="1:11">
      <c r="A44" t="s">
        <v>194</v>
      </c>
      <c r="B44" t="s">
        <v>14</v>
      </c>
      <c r="C44" t="s">
        <v>15</v>
      </c>
      <c r="D44">
        <v>3731</v>
      </c>
      <c r="E44">
        <v>115</v>
      </c>
      <c r="F44">
        <v>135</v>
      </c>
      <c r="G44">
        <v>55965</v>
      </c>
      <c r="H44">
        <v>103</v>
      </c>
      <c r="I44" t="s">
        <v>27</v>
      </c>
      <c r="J44">
        <f t="shared" si="0"/>
        <v>3981</v>
      </c>
      <c r="K44">
        <f t="shared" si="1"/>
        <v>14.05802562170309</v>
      </c>
    </row>
    <row r="45" spans="1:11">
      <c r="A45" t="s">
        <v>76</v>
      </c>
      <c r="B45" t="s">
        <v>25</v>
      </c>
      <c r="C45" t="s">
        <v>20</v>
      </c>
      <c r="D45">
        <v>2076</v>
      </c>
      <c r="E45">
        <v>195</v>
      </c>
      <c r="F45">
        <v>104</v>
      </c>
      <c r="G45">
        <v>33216</v>
      </c>
      <c r="H45">
        <v>51</v>
      </c>
      <c r="I45" t="s">
        <v>51</v>
      </c>
      <c r="J45">
        <f t="shared" si="0"/>
        <v>2375</v>
      </c>
      <c r="K45">
        <f t="shared" si="1"/>
        <v>13.985684210526315</v>
      </c>
    </row>
    <row r="46" spans="1:11">
      <c r="A46" t="s">
        <v>193</v>
      </c>
      <c r="B46" t="s">
        <v>38</v>
      </c>
      <c r="C46" t="s">
        <v>44</v>
      </c>
      <c r="D46">
        <v>2072</v>
      </c>
      <c r="E46">
        <v>532</v>
      </c>
      <c r="F46">
        <v>71</v>
      </c>
      <c r="G46">
        <v>37296</v>
      </c>
      <c r="H46">
        <v>25</v>
      </c>
      <c r="I46" t="s">
        <v>27</v>
      </c>
      <c r="J46">
        <f t="shared" si="0"/>
        <v>2675</v>
      </c>
      <c r="K46">
        <f t="shared" si="1"/>
        <v>13.942429906542056</v>
      </c>
    </row>
    <row r="47" spans="1:11">
      <c r="A47" t="s">
        <v>359</v>
      </c>
      <c r="B47" t="s">
        <v>38</v>
      </c>
      <c r="C47" t="s">
        <v>59</v>
      </c>
      <c r="D47">
        <v>4663</v>
      </c>
      <c r="E47">
        <v>145</v>
      </c>
      <c r="F47">
        <v>225</v>
      </c>
      <c r="G47">
        <v>69945</v>
      </c>
      <c r="H47">
        <v>35</v>
      </c>
      <c r="I47" t="s">
        <v>33</v>
      </c>
      <c r="J47">
        <f t="shared" si="0"/>
        <v>5033</v>
      </c>
      <c r="K47">
        <f t="shared" si="1"/>
        <v>13.897277965428174</v>
      </c>
    </row>
    <row r="48" spans="1:11">
      <c r="A48" t="s">
        <v>48</v>
      </c>
      <c r="B48" t="s">
        <v>38</v>
      </c>
      <c r="C48" t="s">
        <v>44</v>
      </c>
      <c r="D48">
        <v>4241</v>
      </c>
      <c r="E48">
        <v>902</v>
      </c>
      <c r="F48">
        <v>47</v>
      </c>
      <c r="G48">
        <v>72097</v>
      </c>
      <c r="H48">
        <v>167</v>
      </c>
      <c r="I48" t="s">
        <v>27</v>
      </c>
      <c r="J48">
        <f t="shared" si="0"/>
        <v>5190</v>
      </c>
      <c r="K48">
        <f t="shared" si="1"/>
        <v>13.891522157996146</v>
      </c>
    </row>
    <row r="49" spans="1:11">
      <c r="A49" t="s">
        <v>159</v>
      </c>
      <c r="B49" t="s">
        <v>25</v>
      </c>
      <c r="C49" t="s">
        <v>39</v>
      </c>
      <c r="D49">
        <v>4171</v>
      </c>
      <c r="E49">
        <v>548</v>
      </c>
      <c r="F49">
        <v>86</v>
      </c>
      <c r="G49">
        <v>66736</v>
      </c>
      <c r="H49">
        <v>173</v>
      </c>
      <c r="I49" t="s">
        <v>51</v>
      </c>
      <c r="J49">
        <f t="shared" si="0"/>
        <v>4805</v>
      </c>
      <c r="K49">
        <f t="shared" si="1"/>
        <v>13.888865764828305</v>
      </c>
    </row>
    <row r="50" spans="1:11">
      <c r="A50" t="s">
        <v>73</v>
      </c>
      <c r="B50" t="s">
        <v>38</v>
      </c>
      <c r="C50" t="s">
        <v>59</v>
      </c>
      <c r="D50">
        <v>3961</v>
      </c>
      <c r="E50">
        <v>761</v>
      </c>
      <c r="F50">
        <v>131</v>
      </c>
      <c r="G50">
        <v>67337</v>
      </c>
      <c r="H50">
        <v>161</v>
      </c>
      <c r="I50" t="s">
        <v>51</v>
      </c>
      <c r="J50">
        <f t="shared" si="0"/>
        <v>4853</v>
      </c>
      <c r="K50">
        <f t="shared" si="1"/>
        <v>13.875334844426128</v>
      </c>
    </row>
    <row r="51" spans="1:11">
      <c r="A51" t="s">
        <v>278</v>
      </c>
      <c r="B51" t="s">
        <v>38</v>
      </c>
      <c r="C51" t="s">
        <v>44</v>
      </c>
      <c r="D51">
        <v>4872</v>
      </c>
      <c r="E51">
        <v>925</v>
      </c>
      <c r="F51">
        <v>176</v>
      </c>
      <c r="G51">
        <v>82824</v>
      </c>
      <c r="H51">
        <v>89</v>
      </c>
      <c r="I51" t="s">
        <v>33</v>
      </c>
      <c r="J51">
        <f t="shared" si="0"/>
        <v>5973</v>
      </c>
      <c r="K51">
        <f t="shared" si="1"/>
        <v>13.86639879457559</v>
      </c>
    </row>
    <row r="52" spans="1:11">
      <c r="A52" t="s">
        <v>90</v>
      </c>
      <c r="B52" t="s">
        <v>38</v>
      </c>
      <c r="C52" t="s">
        <v>44</v>
      </c>
      <c r="D52">
        <v>3564</v>
      </c>
      <c r="E52">
        <v>629</v>
      </c>
      <c r="F52">
        <v>177</v>
      </c>
      <c r="G52">
        <v>60588</v>
      </c>
      <c r="H52">
        <v>92</v>
      </c>
      <c r="I52" t="s">
        <v>27</v>
      </c>
      <c r="J52">
        <f t="shared" si="0"/>
        <v>4370</v>
      </c>
      <c r="K52">
        <f t="shared" si="1"/>
        <v>13.864530892448512</v>
      </c>
    </row>
    <row r="53" spans="1:11">
      <c r="A53" t="s">
        <v>251</v>
      </c>
      <c r="B53" t="s">
        <v>38</v>
      </c>
      <c r="C53" t="s">
        <v>15</v>
      </c>
      <c r="D53">
        <v>3360</v>
      </c>
      <c r="E53">
        <v>525</v>
      </c>
      <c r="F53">
        <v>500</v>
      </c>
      <c r="G53">
        <v>60480</v>
      </c>
      <c r="H53">
        <v>192</v>
      </c>
      <c r="I53" t="s">
        <v>27</v>
      </c>
      <c r="J53">
        <f t="shared" si="0"/>
        <v>4385</v>
      </c>
      <c r="K53">
        <f t="shared" si="1"/>
        <v>13.792474344355758</v>
      </c>
    </row>
    <row r="54" spans="1:11">
      <c r="A54" t="s">
        <v>303</v>
      </c>
      <c r="B54" t="s">
        <v>14</v>
      </c>
      <c r="C54" t="s">
        <v>20</v>
      </c>
      <c r="D54">
        <v>4725</v>
      </c>
      <c r="E54">
        <v>400</v>
      </c>
      <c r="F54">
        <v>362</v>
      </c>
      <c r="G54">
        <v>75600</v>
      </c>
      <c r="H54">
        <v>43</v>
      </c>
      <c r="I54" t="s">
        <v>51</v>
      </c>
      <c r="J54">
        <f t="shared" si="0"/>
        <v>5487</v>
      </c>
      <c r="K54">
        <f t="shared" si="1"/>
        <v>13.778020776380536</v>
      </c>
    </row>
    <row r="55" spans="1:11">
      <c r="A55" t="s">
        <v>234</v>
      </c>
      <c r="B55" t="s">
        <v>38</v>
      </c>
      <c r="C55" t="s">
        <v>39</v>
      </c>
      <c r="D55">
        <v>3073</v>
      </c>
      <c r="E55">
        <v>553</v>
      </c>
      <c r="F55">
        <v>174</v>
      </c>
      <c r="G55">
        <v>52241</v>
      </c>
      <c r="H55">
        <v>246</v>
      </c>
      <c r="I55" t="s">
        <v>33</v>
      </c>
      <c r="J55">
        <f t="shared" si="0"/>
        <v>3800</v>
      </c>
      <c r="K55">
        <f t="shared" si="1"/>
        <v>13.747631578947368</v>
      </c>
    </row>
    <row r="56" spans="1:11">
      <c r="A56" t="s">
        <v>297</v>
      </c>
      <c r="B56" t="s">
        <v>38</v>
      </c>
      <c r="C56" t="s">
        <v>44</v>
      </c>
      <c r="D56">
        <v>2382</v>
      </c>
      <c r="E56">
        <v>265</v>
      </c>
      <c r="F56">
        <v>134</v>
      </c>
      <c r="G56">
        <v>38112</v>
      </c>
      <c r="H56">
        <v>249</v>
      </c>
      <c r="I56" t="s">
        <v>51</v>
      </c>
      <c r="J56">
        <f t="shared" si="0"/>
        <v>2781</v>
      </c>
      <c r="K56">
        <f t="shared" si="1"/>
        <v>13.704422869471413</v>
      </c>
    </row>
    <row r="57" spans="1:11">
      <c r="A57" t="s">
        <v>357</v>
      </c>
      <c r="B57" t="s">
        <v>38</v>
      </c>
      <c r="C57" t="s">
        <v>39</v>
      </c>
      <c r="D57">
        <v>2751</v>
      </c>
      <c r="E57">
        <v>33</v>
      </c>
      <c r="F57">
        <v>430</v>
      </c>
      <c r="G57">
        <v>44016</v>
      </c>
      <c r="H57">
        <v>129</v>
      </c>
      <c r="I57" t="s">
        <v>51</v>
      </c>
      <c r="J57">
        <f t="shared" si="0"/>
        <v>3214</v>
      </c>
      <c r="K57">
        <f t="shared" si="1"/>
        <v>13.695084007467331</v>
      </c>
    </row>
    <row r="58" spans="1:11">
      <c r="A58" t="s">
        <v>316</v>
      </c>
      <c r="B58" t="s">
        <v>38</v>
      </c>
      <c r="C58" t="s">
        <v>15</v>
      </c>
      <c r="D58">
        <v>3813</v>
      </c>
      <c r="E58">
        <v>935</v>
      </c>
      <c r="F58">
        <v>274</v>
      </c>
      <c r="G58">
        <v>68634</v>
      </c>
      <c r="H58">
        <v>251</v>
      </c>
      <c r="I58" t="s">
        <v>51</v>
      </c>
      <c r="J58">
        <f t="shared" si="0"/>
        <v>5022</v>
      </c>
      <c r="K58">
        <f t="shared" si="1"/>
        <v>13.666666666666666</v>
      </c>
    </row>
    <row r="59" spans="1:11">
      <c r="A59" t="s">
        <v>101</v>
      </c>
      <c r="B59" t="s">
        <v>14</v>
      </c>
      <c r="C59" t="s">
        <v>31</v>
      </c>
      <c r="D59">
        <v>1950</v>
      </c>
      <c r="E59">
        <v>295</v>
      </c>
      <c r="F59">
        <v>478</v>
      </c>
      <c r="G59">
        <v>37050</v>
      </c>
      <c r="H59">
        <v>119</v>
      </c>
      <c r="I59" t="s">
        <v>27</v>
      </c>
      <c r="J59">
        <f t="shared" si="0"/>
        <v>2723</v>
      </c>
      <c r="K59">
        <f t="shared" si="1"/>
        <v>13.606316562614763</v>
      </c>
    </row>
    <row r="60" spans="1:11">
      <c r="A60" t="s">
        <v>161</v>
      </c>
      <c r="B60" t="s">
        <v>25</v>
      </c>
      <c r="C60" t="s">
        <v>59</v>
      </c>
      <c r="D60">
        <v>4450</v>
      </c>
      <c r="E60">
        <v>983</v>
      </c>
      <c r="F60">
        <v>143</v>
      </c>
      <c r="G60">
        <v>75650</v>
      </c>
      <c r="H60">
        <v>12</v>
      </c>
      <c r="I60" t="s">
        <v>51</v>
      </c>
      <c r="J60">
        <f t="shared" si="0"/>
        <v>5576</v>
      </c>
      <c r="K60">
        <f t="shared" si="1"/>
        <v>13.567073170731707</v>
      </c>
    </row>
    <row r="61" spans="1:11">
      <c r="A61" t="s">
        <v>171</v>
      </c>
      <c r="B61" t="s">
        <v>25</v>
      </c>
      <c r="C61" t="s">
        <v>44</v>
      </c>
      <c r="D61">
        <v>2719</v>
      </c>
      <c r="E61">
        <v>17</v>
      </c>
      <c r="F61">
        <v>285</v>
      </c>
      <c r="G61">
        <v>40785</v>
      </c>
      <c r="H61">
        <v>40</v>
      </c>
      <c r="I61" t="s">
        <v>27</v>
      </c>
      <c r="J61">
        <f t="shared" si="0"/>
        <v>3021</v>
      </c>
      <c r="K61">
        <f t="shared" si="1"/>
        <v>13.500496524329693</v>
      </c>
    </row>
    <row r="62" spans="1:11">
      <c r="A62" t="s">
        <v>230</v>
      </c>
      <c r="B62" t="s">
        <v>38</v>
      </c>
      <c r="C62" t="s">
        <v>20</v>
      </c>
      <c r="D62">
        <v>2418</v>
      </c>
      <c r="E62">
        <v>754</v>
      </c>
      <c r="F62">
        <v>54</v>
      </c>
      <c r="G62">
        <v>43524</v>
      </c>
      <c r="H62">
        <v>182</v>
      </c>
      <c r="I62" t="s">
        <v>33</v>
      </c>
      <c r="J62">
        <f t="shared" si="0"/>
        <v>3226</v>
      </c>
      <c r="K62">
        <f t="shared" si="1"/>
        <v>13.491630502169869</v>
      </c>
    </row>
    <row r="63" spans="1:11">
      <c r="A63" t="s">
        <v>97</v>
      </c>
      <c r="B63" t="s">
        <v>38</v>
      </c>
      <c r="C63" t="s">
        <v>59</v>
      </c>
      <c r="D63">
        <v>3371</v>
      </c>
      <c r="E63">
        <v>106</v>
      </c>
      <c r="F63">
        <v>327</v>
      </c>
      <c r="G63">
        <v>50565</v>
      </c>
      <c r="H63">
        <v>176</v>
      </c>
      <c r="I63" t="s">
        <v>51</v>
      </c>
      <c r="J63">
        <f t="shared" si="0"/>
        <v>3804</v>
      </c>
      <c r="K63">
        <f t="shared" si="1"/>
        <v>13.292586750788644</v>
      </c>
    </row>
    <row r="64" spans="1:11">
      <c r="A64" t="s">
        <v>241</v>
      </c>
      <c r="B64" t="s">
        <v>38</v>
      </c>
      <c r="C64" t="s">
        <v>39</v>
      </c>
      <c r="D64">
        <v>3796</v>
      </c>
      <c r="E64">
        <v>667</v>
      </c>
      <c r="F64">
        <v>395</v>
      </c>
      <c r="G64">
        <v>64532</v>
      </c>
      <c r="H64">
        <v>292</v>
      </c>
      <c r="I64" t="s">
        <v>27</v>
      </c>
      <c r="J64">
        <f t="shared" si="0"/>
        <v>4858</v>
      </c>
      <c r="K64">
        <f t="shared" si="1"/>
        <v>13.283655825442569</v>
      </c>
    </row>
    <row r="65" spans="1:11">
      <c r="A65" t="s">
        <v>61</v>
      </c>
      <c r="B65" t="s">
        <v>38</v>
      </c>
      <c r="C65" t="s">
        <v>20</v>
      </c>
      <c r="D65">
        <v>3452</v>
      </c>
      <c r="E65">
        <v>377</v>
      </c>
      <c r="F65">
        <v>360</v>
      </c>
      <c r="G65">
        <v>55232</v>
      </c>
      <c r="H65">
        <v>87</v>
      </c>
      <c r="I65" t="s">
        <v>51</v>
      </c>
      <c r="J65">
        <f t="shared" si="0"/>
        <v>4189</v>
      </c>
      <c r="K65">
        <f t="shared" si="1"/>
        <v>13.185008355216041</v>
      </c>
    </row>
    <row r="66" spans="1:11">
      <c r="A66" t="s">
        <v>54</v>
      </c>
      <c r="B66" t="s">
        <v>25</v>
      </c>
      <c r="C66" t="s">
        <v>39</v>
      </c>
      <c r="D66">
        <v>1171</v>
      </c>
      <c r="E66">
        <v>286</v>
      </c>
      <c r="F66">
        <v>231</v>
      </c>
      <c r="G66">
        <v>22249</v>
      </c>
      <c r="H66">
        <v>114</v>
      </c>
      <c r="I66" t="s">
        <v>33</v>
      </c>
      <c r="J66">
        <f t="shared" ref="J66:J129" si="2">D66 + E66 + F66</f>
        <v>1688</v>
      </c>
      <c r="K66">
        <f t="shared" ref="K66:K129" si="3">G66/J66</f>
        <v>13.18068720379147</v>
      </c>
    </row>
    <row r="67" spans="1:11">
      <c r="A67" t="s">
        <v>298</v>
      </c>
      <c r="B67" t="s">
        <v>38</v>
      </c>
      <c r="C67" t="s">
        <v>20</v>
      </c>
      <c r="D67">
        <v>1272</v>
      </c>
      <c r="E67">
        <v>465</v>
      </c>
      <c r="F67">
        <v>99</v>
      </c>
      <c r="G67">
        <v>24168</v>
      </c>
      <c r="H67">
        <v>42</v>
      </c>
      <c r="I67" t="s">
        <v>27</v>
      </c>
      <c r="J67">
        <f t="shared" si="2"/>
        <v>1836</v>
      </c>
      <c r="K67">
        <f t="shared" si="3"/>
        <v>13.163398692810457</v>
      </c>
    </row>
    <row r="68" spans="1:11">
      <c r="A68" t="s">
        <v>19</v>
      </c>
      <c r="B68" t="s">
        <v>14</v>
      </c>
      <c r="C68" t="s">
        <v>20</v>
      </c>
      <c r="D68">
        <v>4054</v>
      </c>
      <c r="E68">
        <v>389</v>
      </c>
      <c r="F68">
        <v>493</v>
      </c>
      <c r="G68">
        <v>64864</v>
      </c>
      <c r="H68">
        <v>117</v>
      </c>
      <c r="I68" t="s">
        <v>22</v>
      </c>
      <c r="J68">
        <f t="shared" si="2"/>
        <v>4936</v>
      </c>
      <c r="K68">
        <f t="shared" si="3"/>
        <v>13.141004862236629</v>
      </c>
    </row>
    <row r="69" spans="1:11">
      <c r="A69" t="s">
        <v>87</v>
      </c>
      <c r="B69" t="s">
        <v>30</v>
      </c>
      <c r="C69" t="s">
        <v>31</v>
      </c>
      <c r="D69">
        <v>4518</v>
      </c>
      <c r="E69">
        <v>285</v>
      </c>
      <c r="F69">
        <v>383</v>
      </c>
      <c r="G69">
        <v>67770</v>
      </c>
      <c r="H69">
        <v>31</v>
      </c>
      <c r="I69" t="s">
        <v>33</v>
      </c>
      <c r="J69">
        <f t="shared" si="2"/>
        <v>5186</v>
      </c>
      <c r="K69">
        <f t="shared" si="3"/>
        <v>13.067875048206711</v>
      </c>
    </row>
    <row r="70" spans="1:11">
      <c r="A70" t="s">
        <v>71</v>
      </c>
      <c r="B70" t="s">
        <v>38</v>
      </c>
      <c r="C70" t="s">
        <v>59</v>
      </c>
      <c r="D70">
        <v>1606</v>
      </c>
      <c r="E70">
        <v>547</v>
      </c>
      <c r="F70">
        <v>316</v>
      </c>
      <c r="G70">
        <v>32120</v>
      </c>
      <c r="H70">
        <v>225</v>
      </c>
      <c r="I70" t="s">
        <v>72</v>
      </c>
      <c r="J70">
        <f t="shared" si="2"/>
        <v>2469</v>
      </c>
      <c r="K70">
        <f t="shared" si="3"/>
        <v>13.009315512353179</v>
      </c>
    </row>
    <row r="71" spans="1:11">
      <c r="A71" t="s">
        <v>69</v>
      </c>
      <c r="B71" t="s">
        <v>30</v>
      </c>
      <c r="C71" t="s">
        <v>15</v>
      </c>
      <c r="D71">
        <v>4838</v>
      </c>
      <c r="E71">
        <v>640</v>
      </c>
      <c r="F71">
        <v>128</v>
      </c>
      <c r="G71">
        <v>72570</v>
      </c>
      <c r="H71">
        <v>83</v>
      </c>
      <c r="I71" t="s">
        <v>51</v>
      </c>
      <c r="J71">
        <f t="shared" si="2"/>
        <v>5606</v>
      </c>
      <c r="K71">
        <f t="shared" si="3"/>
        <v>12.945058865501249</v>
      </c>
    </row>
    <row r="72" spans="1:11">
      <c r="A72" t="s">
        <v>211</v>
      </c>
      <c r="B72" t="s">
        <v>14</v>
      </c>
      <c r="C72" t="s">
        <v>59</v>
      </c>
      <c r="D72">
        <v>1702</v>
      </c>
      <c r="E72">
        <v>750</v>
      </c>
      <c r="F72">
        <v>179</v>
      </c>
      <c r="G72">
        <v>34040</v>
      </c>
      <c r="H72">
        <v>76</v>
      </c>
      <c r="I72" t="s">
        <v>33</v>
      </c>
      <c r="J72">
        <f t="shared" si="2"/>
        <v>2631</v>
      </c>
      <c r="K72">
        <f t="shared" si="3"/>
        <v>12.938046370201445</v>
      </c>
    </row>
    <row r="73" spans="1:11">
      <c r="A73" t="s">
        <v>294</v>
      </c>
      <c r="B73" t="s">
        <v>38</v>
      </c>
      <c r="C73" t="s">
        <v>15</v>
      </c>
      <c r="D73">
        <v>3663</v>
      </c>
      <c r="E73">
        <v>17</v>
      </c>
      <c r="F73">
        <v>295</v>
      </c>
      <c r="G73">
        <v>51282</v>
      </c>
      <c r="H73">
        <v>84</v>
      </c>
      <c r="I73" t="s">
        <v>33</v>
      </c>
      <c r="J73">
        <f t="shared" si="2"/>
        <v>3975</v>
      </c>
      <c r="K73">
        <f t="shared" si="3"/>
        <v>12.901132075471699</v>
      </c>
    </row>
    <row r="74" spans="1:11">
      <c r="A74" t="s">
        <v>137</v>
      </c>
      <c r="B74" t="s">
        <v>30</v>
      </c>
      <c r="C74" t="s">
        <v>31</v>
      </c>
      <c r="D74">
        <v>2103</v>
      </c>
      <c r="E74">
        <v>892</v>
      </c>
      <c r="F74">
        <v>103</v>
      </c>
      <c r="G74">
        <v>39957</v>
      </c>
      <c r="H74">
        <v>28</v>
      </c>
      <c r="I74" t="s">
        <v>51</v>
      </c>
      <c r="J74">
        <f t="shared" si="2"/>
        <v>3098</v>
      </c>
      <c r="K74">
        <f t="shared" si="3"/>
        <v>12.897675919948353</v>
      </c>
    </row>
    <row r="75" spans="1:11">
      <c r="A75" t="s">
        <v>106</v>
      </c>
      <c r="B75" t="s">
        <v>38</v>
      </c>
      <c r="C75" t="s">
        <v>39</v>
      </c>
      <c r="D75">
        <v>2200</v>
      </c>
      <c r="E75">
        <v>504</v>
      </c>
      <c r="F75">
        <v>239</v>
      </c>
      <c r="G75">
        <v>37400</v>
      </c>
      <c r="H75">
        <v>225</v>
      </c>
      <c r="I75" t="s">
        <v>51</v>
      </c>
      <c r="J75">
        <f t="shared" si="2"/>
        <v>2943</v>
      </c>
      <c r="K75">
        <f t="shared" si="3"/>
        <v>12.708120965001699</v>
      </c>
    </row>
    <row r="76" spans="1:11">
      <c r="A76" t="s">
        <v>342</v>
      </c>
      <c r="B76" t="s">
        <v>14</v>
      </c>
      <c r="C76" t="s">
        <v>39</v>
      </c>
      <c r="D76">
        <v>3535</v>
      </c>
      <c r="E76">
        <v>494</v>
      </c>
      <c r="F76">
        <v>152</v>
      </c>
      <c r="G76">
        <v>53025</v>
      </c>
      <c r="H76">
        <v>44</v>
      </c>
      <c r="I76" t="s">
        <v>27</v>
      </c>
      <c r="J76">
        <f t="shared" si="2"/>
        <v>4181</v>
      </c>
      <c r="K76">
        <f t="shared" si="3"/>
        <v>12.68237263812485</v>
      </c>
    </row>
    <row r="77" spans="1:11">
      <c r="A77" t="s">
        <v>151</v>
      </c>
      <c r="B77" t="s">
        <v>38</v>
      </c>
      <c r="C77" t="s">
        <v>44</v>
      </c>
      <c r="D77">
        <v>1263</v>
      </c>
      <c r="E77">
        <v>397</v>
      </c>
      <c r="F77">
        <v>357</v>
      </c>
      <c r="G77">
        <v>25260</v>
      </c>
      <c r="H77">
        <v>137</v>
      </c>
      <c r="I77" t="s">
        <v>33</v>
      </c>
      <c r="J77">
        <f t="shared" si="2"/>
        <v>2017</v>
      </c>
      <c r="K77">
        <f t="shared" si="3"/>
        <v>12.523549826474962</v>
      </c>
    </row>
    <row r="78" spans="1:11">
      <c r="A78" t="s">
        <v>323</v>
      </c>
      <c r="B78" t="s">
        <v>38</v>
      </c>
      <c r="C78" t="s">
        <v>44</v>
      </c>
      <c r="D78">
        <v>3090</v>
      </c>
      <c r="E78">
        <v>697</v>
      </c>
      <c r="F78">
        <v>164</v>
      </c>
      <c r="G78">
        <v>49440</v>
      </c>
      <c r="H78">
        <v>25</v>
      </c>
      <c r="I78" t="s">
        <v>324</v>
      </c>
      <c r="J78">
        <f t="shared" si="2"/>
        <v>3951</v>
      </c>
      <c r="K78">
        <f t="shared" si="3"/>
        <v>12.513287775246773</v>
      </c>
    </row>
    <row r="79" spans="1:11">
      <c r="A79" t="s">
        <v>178</v>
      </c>
      <c r="B79" t="s">
        <v>38</v>
      </c>
      <c r="C79" t="s">
        <v>44</v>
      </c>
      <c r="D79">
        <v>4551</v>
      </c>
      <c r="E79">
        <v>714</v>
      </c>
      <c r="F79">
        <v>207</v>
      </c>
      <c r="G79">
        <v>68265</v>
      </c>
      <c r="H79">
        <v>57</v>
      </c>
      <c r="I79" t="s">
        <v>51</v>
      </c>
      <c r="J79">
        <f t="shared" si="2"/>
        <v>5472</v>
      </c>
      <c r="K79">
        <f t="shared" si="3"/>
        <v>12.475328947368421</v>
      </c>
    </row>
    <row r="80" spans="1:11">
      <c r="A80" t="s">
        <v>70</v>
      </c>
      <c r="B80" t="s">
        <v>38</v>
      </c>
      <c r="C80" t="s">
        <v>20</v>
      </c>
      <c r="D80">
        <v>1570</v>
      </c>
      <c r="E80">
        <v>187</v>
      </c>
      <c r="F80">
        <v>260</v>
      </c>
      <c r="G80">
        <v>25120</v>
      </c>
      <c r="H80">
        <v>133</v>
      </c>
      <c r="I80" t="s">
        <v>27</v>
      </c>
      <c r="J80">
        <f t="shared" si="2"/>
        <v>2017</v>
      </c>
      <c r="K80">
        <f t="shared" si="3"/>
        <v>12.454139811601388</v>
      </c>
    </row>
    <row r="81" spans="1:11">
      <c r="A81" t="s">
        <v>182</v>
      </c>
      <c r="B81" t="s">
        <v>30</v>
      </c>
      <c r="C81" t="s">
        <v>20</v>
      </c>
      <c r="D81">
        <v>3432</v>
      </c>
      <c r="E81">
        <v>869</v>
      </c>
      <c r="F81">
        <v>123</v>
      </c>
      <c r="G81">
        <v>54912</v>
      </c>
      <c r="H81">
        <v>264</v>
      </c>
      <c r="I81" t="s">
        <v>33</v>
      </c>
      <c r="J81">
        <f t="shared" si="2"/>
        <v>4424</v>
      </c>
      <c r="K81">
        <f t="shared" si="3"/>
        <v>12.412296564195298</v>
      </c>
    </row>
    <row r="82" spans="1:11">
      <c r="A82" t="s">
        <v>113</v>
      </c>
      <c r="B82" t="s">
        <v>14</v>
      </c>
      <c r="C82" t="s">
        <v>59</v>
      </c>
      <c r="D82">
        <v>2825</v>
      </c>
      <c r="E82">
        <v>535</v>
      </c>
      <c r="F82">
        <v>295</v>
      </c>
      <c r="G82">
        <v>45200</v>
      </c>
      <c r="H82">
        <v>169</v>
      </c>
      <c r="I82" t="s">
        <v>27</v>
      </c>
      <c r="J82">
        <f t="shared" si="2"/>
        <v>3655</v>
      </c>
      <c r="K82">
        <f t="shared" si="3"/>
        <v>12.366621067031463</v>
      </c>
    </row>
    <row r="83" spans="1:11">
      <c r="A83" t="s">
        <v>133</v>
      </c>
      <c r="B83" t="s">
        <v>14</v>
      </c>
      <c r="C83" t="s">
        <v>31</v>
      </c>
      <c r="D83">
        <v>1121</v>
      </c>
      <c r="E83">
        <v>135</v>
      </c>
      <c r="F83">
        <v>18</v>
      </c>
      <c r="G83">
        <v>15694</v>
      </c>
      <c r="H83">
        <v>99</v>
      </c>
      <c r="I83" t="s">
        <v>27</v>
      </c>
      <c r="J83">
        <f t="shared" si="2"/>
        <v>1274</v>
      </c>
      <c r="K83">
        <f t="shared" si="3"/>
        <v>12.318681318681319</v>
      </c>
    </row>
    <row r="84" spans="1:11">
      <c r="A84" t="s">
        <v>292</v>
      </c>
      <c r="B84" t="s">
        <v>30</v>
      </c>
      <c r="C84" t="s">
        <v>31</v>
      </c>
      <c r="D84">
        <v>4808</v>
      </c>
      <c r="E84">
        <v>772</v>
      </c>
      <c r="F84">
        <v>320</v>
      </c>
      <c r="G84">
        <v>72120</v>
      </c>
      <c r="H84">
        <v>195</v>
      </c>
      <c r="I84" t="s">
        <v>33</v>
      </c>
      <c r="J84">
        <f t="shared" si="2"/>
        <v>5900</v>
      </c>
      <c r="K84">
        <f t="shared" si="3"/>
        <v>12.223728813559323</v>
      </c>
    </row>
    <row r="85" spans="1:11">
      <c r="A85" t="s">
        <v>121</v>
      </c>
      <c r="B85" t="s">
        <v>38</v>
      </c>
      <c r="C85" t="s">
        <v>44</v>
      </c>
      <c r="D85">
        <v>2878</v>
      </c>
      <c r="E85">
        <v>248</v>
      </c>
      <c r="F85">
        <v>416</v>
      </c>
      <c r="G85">
        <v>43170</v>
      </c>
      <c r="H85">
        <v>75</v>
      </c>
      <c r="I85" t="s">
        <v>51</v>
      </c>
      <c r="J85">
        <f t="shared" si="2"/>
        <v>3542</v>
      </c>
      <c r="K85">
        <f t="shared" si="3"/>
        <v>12.188029361942405</v>
      </c>
    </row>
    <row r="86" spans="1:11">
      <c r="A86" t="s">
        <v>135</v>
      </c>
      <c r="B86" t="s">
        <v>14</v>
      </c>
      <c r="C86" t="s">
        <v>44</v>
      </c>
      <c r="D86">
        <v>954</v>
      </c>
      <c r="E86">
        <v>324</v>
      </c>
      <c r="F86">
        <v>288</v>
      </c>
      <c r="G86">
        <v>19080</v>
      </c>
      <c r="H86">
        <v>21</v>
      </c>
      <c r="I86" t="s">
        <v>51</v>
      </c>
      <c r="J86">
        <f t="shared" si="2"/>
        <v>1566</v>
      </c>
      <c r="K86">
        <f t="shared" si="3"/>
        <v>12.183908045977011</v>
      </c>
    </row>
    <row r="87" spans="1:11">
      <c r="A87" t="s">
        <v>264</v>
      </c>
      <c r="B87" t="s">
        <v>38</v>
      </c>
      <c r="C87" t="s">
        <v>44</v>
      </c>
      <c r="D87">
        <v>1871</v>
      </c>
      <c r="E87">
        <v>252</v>
      </c>
      <c r="F87">
        <v>335</v>
      </c>
      <c r="G87">
        <v>29936</v>
      </c>
      <c r="H87">
        <v>288</v>
      </c>
      <c r="I87" t="s">
        <v>33</v>
      </c>
      <c r="J87">
        <f t="shared" si="2"/>
        <v>2458</v>
      </c>
      <c r="K87">
        <f t="shared" si="3"/>
        <v>12.179007323026852</v>
      </c>
    </row>
    <row r="88" spans="1:11">
      <c r="A88" t="s">
        <v>276</v>
      </c>
      <c r="B88" t="s">
        <v>38</v>
      </c>
      <c r="C88" t="s">
        <v>39</v>
      </c>
      <c r="D88">
        <v>2696</v>
      </c>
      <c r="E88">
        <v>628</v>
      </c>
      <c r="F88">
        <v>443</v>
      </c>
      <c r="G88">
        <v>45832</v>
      </c>
      <c r="H88">
        <v>248</v>
      </c>
      <c r="I88" t="s">
        <v>33</v>
      </c>
      <c r="J88">
        <f t="shared" si="2"/>
        <v>3767</v>
      </c>
      <c r="K88">
        <f t="shared" si="3"/>
        <v>12.166710910538891</v>
      </c>
    </row>
    <row r="89" spans="1:11">
      <c r="A89" t="s">
        <v>272</v>
      </c>
      <c r="B89" t="s">
        <v>14</v>
      </c>
      <c r="C89" t="s">
        <v>59</v>
      </c>
      <c r="D89">
        <v>3160</v>
      </c>
      <c r="E89">
        <v>204</v>
      </c>
      <c r="F89">
        <v>297</v>
      </c>
      <c r="G89">
        <v>44240</v>
      </c>
      <c r="H89">
        <v>49</v>
      </c>
      <c r="I89" t="s">
        <v>17</v>
      </c>
      <c r="J89">
        <f t="shared" si="2"/>
        <v>3661</v>
      </c>
      <c r="K89">
        <f t="shared" si="3"/>
        <v>12.084130019120458</v>
      </c>
    </row>
    <row r="90" spans="1:11">
      <c r="A90" t="s">
        <v>329</v>
      </c>
      <c r="B90" t="s">
        <v>30</v>
      </c>
      <c r="C90" t="s">
        <v>44</v>
      </c>
      <c r="D90">
        <v>4853</v>
      </c>
      <c r="E90">
        <v>837</v>
      </c>
      <c r="F90">
        <v>340</v>
      </c>
      <c r="G90">
        <v>72795</v>
      </c>
      <c r="H90">
        <v>170</v>
      </c>
      <c r="I90" t="s">
        <v>33</v>
      </c>
      <c r="J90">
        <f t="shared" si="2"/>
        <v>6030</v>
      </c>
      <c r="K90">
        <f t="shared" si="3"/>
        <v>12.072139303482587</v>
      </c>
    </row>
    <row r="91" spans="1:11">
      <c r="A91" t="s">
        <v>348</v>
      </c>
      <c r="B91" t="s">
        <v>25</v>
      </c>
      <c r="C91" t="s">
        <v>59</v>
      </c>
      <c r="D91">
        <v>4275</v>
      </c>
      <c r="E91">
        <v>680</v>
      </c>
      <c r="F91">
        <v>385</v>
      </c>
      <c r="G91">
        <v>64125</v>
      </c>
      <c r="H91">
        <v>104</v>
      </c>
      <c r="I91" t="s">
        <v>117</v>
      </c>
      <c r="J91">
        <f t="shared" si="2"/>
        <v>5340</v>
      </c>
      <c r="K91">
        <f t="shared" si="3"/>
        <v>12.008426966292134</v>
      </c>
    </row>
    <row r="92" spans="1:11">
      <c r="A92" t="s">
        <v>368</v>
      </c>
      <c r="B92" t="s">
        <v>14</v>
      </c>
      <c r="C92" t="s">
        <v>39</v>
      </c>
      <c r="D92">
        <v>4494</v>
      </c>
      <c r="E92">
        <v>717</v>
      </c>
      <c r="F92">
        <v>45</v>
      </c>
      <c r="G92">
        <v>62916</v>
      </c>
      <c r="H92">
        <v>191</v>
      </c>
      <c r="I92" t="s">
        <v>328</v>
      </c>
      <c r="J92">
        <f t="shared" si="2"/>
        <v>5256</v>
      </c>
      <c r="K92">
        <f t="shared" si="3"/>
        <v>11.970319634703197</v>
      </c>
    </row>
    <row r="93" spans="1:11">
      <c r="A93" t="s">
        <v>249</v>
      </c>
      <c r="B93" t="s">
        <v>14</v>
      </c>
      <c r="C93" t="s">
        <v>15</v>
      </c>
      <c r="D93">
        <v>1644</v>
      </c>
      <c r="E93">
        <v>546</v>
      </c>
      <c r="F93">
        <v>150</v>
      </c>
      <c r="G93">
        <v>27948</v>
      </c>
      <c r="H93">
        <v>300</v>
      </c>
      <c r="I93" t="s">
        <v>33</v>
      </c>
      <c r="J93">
        <f t="shared" si="2"/>
        <v>2340</v>
      </c>
      <c r="K93">
        <f t="shared" si="3"/>
        <v>11.943589743589744</v>
      </c>
    </row>
    <row r="94" spans="1:11">
      <c r="A94" t="s">
        <v>358</v>
      </c>
      <c r="B94" t="s">
        <v>30</v>
      </c>
      <c r="C94" t="s">
        <v>39</v>
      </c>
      <c r="D94">
        <v>2107</v>
      </c>
      <c r="E94">
        <v>550</v>
      </c>
      <c r="F94">
        <v>349</v>
      </c>
      <c r="G94">
        <v>35819</v>
      </c>
      <c r="H94">
        <v>191</v>
      </c>
      <c r="I94" t="s">
        <v>33</v>
      </c>
      <c r="J94">
        <f t="shared" si="2"/>
        <v>3006</v>
      </c>
      <c r="K94">
        <f t="shared" si="3"/>
        <v>11.91583499667332</v>
      </c>
    </row>
    <row r="95" spans="1:11">
      <c r="A95" t="s">
        <v>336</v>
      </c>
      <c r="B95" t="s">
        <v>30</v>
      </c>
      <c r="C95" t="s">
        <v>15</v>
      </c>
      <c r="D95">
        <v>4579</v>
      </c>
      <c r="E95">
        <v>125</v>
      </c>
      <c r="F95">
        <v>300</v>
      </c>
      <c r="G95">
        <v>59527</v>
      </c>
      <c r="H95">
        <v>269</v>
      </c>
      <c r="I95" t="s">
        <v>33</v>
      </c>
      <c r="J95">
        <f t="shared" si="2"/>
        <v>5004</v>
      </c>
      <c r="K95">
        <f t="shared" si="3"/>
        <v>11.895883293365308</v>
      </c>
    </row>
    <row r="96" spans="1:11">
      <c r="A96" t="s">
        <v>256</v>
      </c>
      <c r="B96" t="s">
        <v>25</v>
      </c>
      <c r="C96" t="s">
        <v>31</v>
      </c>
      <c r="D96">
        <v>4350</v>
      </c>
      <c r="E96">
        <v>771</v>
      </c>
      <c r="F96">
        <v>7</v>
      </c>
      <c r="G96">
        <v>60900</v>
      </c>
      <c r="H96">
        <v>195</v>
      </c>
      <c r="I96" t="s">
        <v>33</v>
      </c>
      <c r="J96">
        <f t="shared" si="2"/>
        <v>5128</v>
      </c>
      <c r="K96">
        <f t="shared" si="3"/>
        <v>11.87597503900156</v>
      </c>
    </row>
    <row r="97" spans="1:11">
      <c r="A97" t="s">
        <v>248</v>
      </c>
      <c r="B97" t="s">
        <v>38</v>
      </c>
      <c r="C97" t="s">
        <v>39</v>
      </c>
      <c r="D97">
        <v>4292</v>
      </c>
      <c r="E97">
        <v>51</v>
      </c>
      <c r="F97">
        <v>392</v>
      </c>
      <c r="G97">
        <v>55796</v>
      </c>
      <c r="H97">
        <v>264</v>
      </c>
      <c r="I97" t="s">
        <v>33</v>
      </c>
      <c r="J97">
        <f t="shared" si="2"/>
        <v>4735</v>
      </c>
      <c r="K97">
        <f t="shared" si="3"/>
        <v>11.783738120380148</v>
      </c>
    </row>
    <row r="98" spans="1:11">
      <c r="A98" t="s">
        <v>250</v>
      </c>
      <c r="B98" t="s">
        <v>25</v>
      </c>
      <c r="C98" t="s">
        <v>15</v>
      </c>
      <c r="D98">
        <v>2728</v>
      </c>
      <c r="E98">
        <v>533</v>
      </c>
      <c r="F98">
        <v>215</v>
      </c>
      <c r="G98">
        <v>40920</v>
      </c>
      <c r="H98">
        <v>137</v>
      </c>
      <c r="I98" t="s">
        <v>51</v>
      </c>
      <c r="J98">
        <f t="shared" si="2"/>
        <v>3476</v>
      </c>
      <c r="K98">
        <f t="shared" si="3"/>
        <v>11.772151898734178</v>
      </c>
    </row>
    <row r="99" spans="1:11">
      <c r="A99" t="s">
        <v>261</v>
      </c>
      <c r="B99" t="s">
        <v>25</v>
      </c>
      <c r="C99" t="s">
        <v>39</v>
      </c>
      <c r="D99">
        <v>2509</v>
      </c>
      <c r="E99">
        <v>324</v>
      </c>
      <c r="F99">
        <v>171</v>
      </c>
      <c r="G99">
        <v>35126</v>
      </c>
      <c r="H99">
        <v>277</v>
      </c>
      <c r="I99" t="s">
        <v>27</v>
      </c>
      <c r="J99">
        <f t="shared" si="2"/>
        <v>3004</v>
      </c>
      <c r="K99">
        <f t="shared" si="3"/>
        <v>11.693075898801597</v>
      </c>
    </row>
    <row r="100" spans="1:11">
      <c r="A100" t="s">
        <v>139</v>
      </c>
      <c r="B100" t="s">
        <v>30</v>
      </c>
      <c r="C100" t="s">
        <v>44</v>
      </c>
      <c r="D100">
        <v>725</v>
      </c>
      <c r="E100">
        <v>88</v>
      </c>
      <c r="F100">
        <v>428</v>
      </c>
      <c r="G100">
        <v>14500</v>
      </c>
      <c r="H100">
        <v>200</v>
      </c>
      <c r="I100" t="s">
        <v>141</v>
      </c>
      <c r="J100">
        <f t="shared" si="2"/>
        <v>1241</v>
      </c>
      <c r="K100">
        <f t="shared" si="3"/>
        <v>11.684125705076552</v>
      </c>
    </row>
    <row r="101" spans="1:11">
      <c r="A101" t="s">
        <v>166</v>
      </c>
      <c r="B101" t="s">
        <v>30</v>
      </c>
      <c r="C101" t="s">
        <v>44</v>
      </c>
      <c r="D101">
        <v>4619</v>
      </c>
      <c r="E101">
        <v>821</v>
      </c>
      <c r="F101">
        <v>499</v>
      </c>
      <c r="G101">
        <v>69285</v>
      </c>
      <c r="H101">
        <v>298</v>
      </c>
      <c r="I101" t="s">
        <v>27</v>
      </c>
      <c r="J101">
        <f t="shared" si="2"/>
        <v>5939</v>
      </c>
      <c r="K101">
        <f t="shared" si="3"/>
        <v>11.666105404950329</v>
      </c>
    </row>
    <row r="102" spans="1:11">
      <c r="A102" t="s">
        <v>295</v>
      </c>
      <c r="B102" t="s">
        <v>30</v>
      </c>
      <c r="C102" t="s">
        <v>20</v>
      </c>
      <c r="D102">
        <v>1430</v>
      </c>
      <c r="E102">
        <v>376</v>
      </c>
      <c r="F102">
        <v>33</v>
      </c>
      <c r="G102">
        <v>21450</v>
      </c>
      <c r="H102">
        <v>251</v>
      </c>
      <c r="I102" t="s">
        <v>51</v>
      </c>
      <c r="J102">
        <f t="shared" si="2"/>
        <v>1839</v>
      </c>
      <c r="K102">
        <f t="shared" si="3"/>
        <v>11.663947797716149</v>
      </c>
    </row>
    <row r="103" spans="1:11">
      <c r="A103" t="s">
        <v>305</v>
      </c>
      <c r="B103" t="s">
        <v>14</v>
      </c>
      <c r="C103" t="s">
        <v>39</v>
      </c>
      <c r="D103">
        <v>929</v>
      </c>
      <c r="E103">
        <v>192</v>
      </c>
      <c r="F103">
        <v>322</v>
      </c>
      <c r="G103">
        <v>16722</v>
      </c>
      <c r="H103">
        <v>145</v>
      </c>
      <c r="I103" t="s">
        <v>117</v>
      </c>
      <c r="J103">
        <f t="shared" si="2"/>
        <v>1443</v>
      </c>
      <c r="K103">
        <f t="shared" si="3"/>
        <v>11.588357588357589</v>
      </c>
    </row>
    <row r="104" spans="1:11">
      <c r="A104" t="s">
        <v>271</v>
      </c>
      <c r="B104" t="s">
        <v>25</v>
      </c>
      <c r="C104" t="s">
        <v>59</v>
      </c>
      <c r="D104">
        <v>2949</v>
      </c>
      <c r="E104">
        <v>476</v>
      </c>
      <c r="F104">
        <v>403</v>
      </c>
      <c r="G104">
        <v>44235</v>
      </c>
      <c r="H104">
        <v>135</v>
      </c>
      <c r="I104" t="s">
        <v>27</v>
      </c>
      <c r="J104">
        <f t="shared" si="2"/>
        <v>3828</v>
      </c>
      <c r="K104">
        <f t="shared" si="3"/>
        <v>11.555642633228841</v>
      </c>
    </row>
    <row r="105" spans="1:11">
      <c r="A105" t="s">
        <v>224</v>
      </c>
      <c r="B105" t="s">
        <v>38</v>
      </c>
      <c r="C105" t="s">
        <v>31</v>
      </c>
      <c r="D105">
        <v>3430</v>
      </c>
      <c r="E105">
        <v>566</v>
      </c>
      <c r="F105">
        <v>164</v>
      </c>
      <c r="G105">
        <v>48020</v>
      </c>
      <c r="H105">
        <v>120</v>
      </c>
      <c r="I105" t="s">
        <v>51</v>
      </c>
      <c r="J105">
        <f t="shared" si="2"/>
        <v>4160</v>
      </c>
      <c r="K105">
        <f t="shared" si="3"/>
        <v>11.54326923076923</v>
      </c>
    </row>
    <row r="106" spans="1:11">
      <c r="A106" t="s">
        <v>144</v>
      </c>
      <c r="B106" t="s">
        <v>38</v>
      </c>
      <c r="C106" t="s">
        <v>44</v>
      </c>
      <c r="D106">
        <v>1841</v>
      </c>
      <c r="E106">
        <v>851</v>
      </c>
      <c r="F106">
        <v>342</v>
      </c>
      <c r="G106">
        <v>34979</v>
      </c>
      <c r="H106">
        <v>255</v>
      </c>
      <c r="I106" t="s">
        <v>51</v>
      </c>
      <c r="J106">
        <f t="shared" si="2"/>
        <v>3034</v>
      </c>
      <c r="K106">
        <f t="shared" si="3"/>
        <v>11.529004614370468</v>
      </c>
    </row>
    <row r="107" spans="1:11">
      <c r="A107" t="s">
        <v>319</v>
      </c>
      <c r="B107" t="s">
        <v>14</v>
      </c>
      <c r="C107" t="s">
        <v>15</v>
      </c>
      <c r="D107">
        <v>3791</v>
      </c>
      <c r="E107">
        <v>593</v>
      </c>
      <c r="F107">
        <v>228</v>
      </c>
      <c r="G107">
        <v>53074</v>
      </c>
      <c r="H107">
        <v>205</v>
      </c>
      <c r="I107" t="s">
        <v>33</v>
      </c>
      <c r="J107">
        <f t="shared" si="2"/>
        <v>4612</v>
      </c>
      <c r="K107">
        <f t="shared" si="3"/>
        <v>11.507805724197745</v>
      </c>
    </row>
    <row r="108" spans="1:11">
      <c r="A108" t="s">
        <v>157</v>
      </c>
      <c r="B108" t="s">
        <v>30</v>
      </c>
      <c r="C108" t="s">
        <v>44</v>
      </c>
      <c r="D108">
        <v>4739</v>
      </c>
      <c r="E108">
        <v>527</v>
      </c>
      <c r="F108">
        <v>135</v>
      </c>
      <c r="G108">
        <v>61607</v>
      </c>
      <c r="H108">
        <v>36</v>
      </c>
      <c r="I108" t="s">
        <v>72</v>
      </c>
      <c r="J108">
        <f t="shared" si="2"/>
        <v>5401</v>
      </c>
      <c r="K108">
        <f t="shared" si="3"/>
        <v>11.406591371968155</v>
      </c>
    </row>
    <row r="109" spans="1:11">
      <c r="A109" t="s">
        <v>315</v>
      </c>
      <c r="B109" t="s">
        <v>14</v>
      </c>
      <c r="C109" t="s">
        <v>44</v>
      </c>
      <c r="D109">
        <v>827</v>
      </c>
      <c r="E109">
        <v>77</v>
      </c>
      <c r="F109">
        <v>402</v>
      </c>
      <c r="G109">
        <v>14886</v>
      </c>
      <c r="H109">
        <v>254</v>
      </c>
      <c r="I109" t="s">
        <v>33</v>
      </c>
      <c r="J109">
        <f t="shared" si="2"/>
        <v>1306</v>
      </c>
      <c r="K109">
        <f t="shared" si="3"/>
        <v>11.398162327718223</v>
      </c>
    </row>
    <row r="110" spans="1:11">
      <c r="A110" t="s">
        <v>327</v>
      </c>
      <c r="B110" t="s">
        <v>30</v>
      </c>
      <c r="C110" t="s">
        <v>31</v>
      </c>
      <c r="D110">
        <v>4332</v>
      </c>
      <c r="E110">
        <v>771</v>
      </c>
      <c r="F110">
        <v>219</v>
      </c>
      <c r="G110">
        <v>60648</v>
      </c>
      <c r="H110">
        <v>10</v>
      </c>
      <c r="I110" t="s">
        <v>328</v>
      </c>
      <c r="J110">
        <f t="shared" si="2"/>
        <v>5322</v>
      </c>
      <c r="K110">
        <f t="shared" si="3"/>
        <v>11.395715896279594</v>
      </c>
    </row>
    <row r="111" spans="1:11">
      <c r="A111" t="s">
        <v>46</v>
      </c>
      <c r="B111" t="s">
        <v>38</v>
      </c>
      <c r="C111" t="s">
        <v>20</v>
      </c>
      <c r="D111">
        <v>3784</v>
      </c>
      <c r="E111">
        <v>808</v>
      </c>
      <c r="F111">
        <v>404</v>
      </c>
      <c r="G111">
        <v>56760</v>
      </c>
      <c r="H111">
        <v>131</v>
      </c>
      <c r="I111" t="s">
        <v>27</v>
      </c>
      <c r="J111">
        <f t="shared" si="2"/>
        <v>4996</v>
      </c>
      <c r="K111">
        <f t="shared" si="3"/>
        <v>11.361088871096877</v>
      </c>
    </row>
    <row r="112" spans="1:11">
      <c r="A112" t="s">
        <v>129</v>
      </c>
      <c r="B112" t="s">
        <v>25</v>
      </c>
      <c r="C112" t="s">
        <v>15</v>
      </c>
      <c r="D112">
        <v>296</v>
      </c>
      <c r="E112">
        <v>60</v>
      </c>
      <c r="F112">
        <v>141</v>
      </c>
      <c r="G112">
        <v>5624</v>
      </c>
      <c r="H112">
        <v>88</v>
      </c>
      <c r="I112" t="s">
        <v>33</v>
      </c>
      <c r="J112">
        <f t="shared" si="2"/>
        <v>497</v>
      </c>
      <c r="K112">
        <f t="shared" si="3"/>
        <v>11.315895372233401</v>
      </c>
    </row>
    <row r="113" spans="1:11">
      <c r="A113" t="s">
        <v>136</v>
      </c>
      <c r="B113" t="s">
        <v>30</v>
      </c>
      <c r="C113" t="s">
        <v>39</v>
      </c>
      <c r="D113">
        <v>3068</v>
      </c>
      <c r="E113">
        <v>137</v>
      </c>
      <c r="F113">
        <v>329</v>
      </c>
      <c r="G113">
        <v>39884</v>
      </c>
      <c r="H113">
        <v>266</v>
      </c>
      <c r="I113" t="s">
        <v>33</v>
      </c>
      <c r="J113">
        <f t="shared" si="2"/>
        <v>3534</v>
      </c>
      <c r="K113">
        <f t="shared" si="3"/>
        <v>11.285795132993774</v>
      </c>
    </row>
    <row r="114" spans="1:11">
      <c r="A114" t="s">
        <v>190</v>
      </c>
      <c r="B114" t="s">
        <v>25</v>
      </c>
      <c r="C114" t="s">
        <v>15</v>
      </c>
      <c r="D114">
        <v>2936</v>
      </c>
      <c r="E114">
        <v>439</v>
      </c>
      <c r="F114">
        <v>44</v>
      </c>
      <c r="G114">
        <v>38168</v>
      </c>
      <c r="H114">
        <v>22</v>
      </c>
      <c r="I114" t="s">
        <v>33</v>
      </c>
      <c r="J114">
        <f t="shared" si="2"/>
        <v>3419</v>
      </c>
      <c r="K114">
        <f t="shared" si="3"/>
        <v>11.163498098859316</v>
      </c>
    </row>
    <row r="115" spans="1:11">
      <c r="A115" t="s">
        <v>75</v>
      </c>
      <c r="B115" t="s">
        <v>25</v>
      </c>
      <c r="C115" t="s">
        <v>15</v>
      </c>
      <c r="D115">
        <v>3009</v>
      </c>
      <c r="E115">
        <v>413</v>
      </c>
      <c r="F115">
        <v>358</v>
      </c>
      <c r="G115">
        <v>42126</v>
      </c>
      <c r="H115">
        <v>211</v>
      </c>
      <c r="I115" t="s">
        <v>51</v>
      </c>
      <c r="J115">
        <f t="shared" si="2"/>
        <v>3780</v>
      </c>
      <c r="K115">
        <f t="shared" si="3"/>
        <v>11.144444444444444</v>
      </c>
    </row>
    <row r="116" spans="1:11">
      <c r="A116" t="s">
        <v>242</v>
      </c>
      <c r="B116" t="s">
        <v>25</v>
      </c>
      <c r="C116" t="s">
        <v>20</v>
      </c>
      <c r="D116">
        <v>3711</v>
      </c>
      <c r="E116">
        <v>352</v>
      </c>
      <c r="F116">
        <v>290</v>
      </c>
      <c r="G116">
        <v>48243</v>
      </c>
      <c r="H116">
        <v>11</v>
      </c>
      <c r="I116" t="s">
        <v>27</v>
      </c>
      <c r="J116">
        <f t="shared" si="2"/>
        <v>4353</v>
      </c>
      <c r="K116">
        <f t="shared" si="3"/>
        <v>11.082701585113714</v>
      </c>
    </row>
    <row r="117" spans="1:11">
      <c r="A117" t="s">
        <v>263</v>
      </c>
      <c r="B117" t="s">
        <v>14</v>
      </c>
      <c r="C117" t="s">
        <v>15</v>
      </c>
      <c r="D117">
        <v>802</v>
      </c>
      <c r="E117">
        <v>262</v>
      </c>
      <c r="F117">
        <v>244</v>
      </c>
      <c r="G117">
        <v>14436</v>
      </c>
      <c r="H117">
        <v>49</v>
      </c>
      <c r="I117" t="s">
        <v>33</v>
      </c>
      <c r="J117">
        <f t="shared" si="2"/>
        <v>1308</v>
      </c>
      <c r="K117">
        <f t="shared" si="3"/>
        <v>11.036697247706423</v>
      </c>
    </row>
    <row r="118" spans="1:11">
      <c r="A118" t="s">
        <v>13</v>
      </c>
      <c r="B118" t="s">
        <v>14</v>
      </c>
      <c r="C118" t="s">
        <v>15</v>
      </c>
      <c r="D118">
        <v>1461</v>
      </c>
      <c r="E118">
        <v>184</v>
      </c>
      <c r="F118">
        <v>344</v>
      </c>
      <c r="G118">
        <v>21915</v>
      </c>
      <c r="H118">
        <v>15</v>
      </c>
      <c r="I118" t="s">
        <v>17</v>
      </c>
      <c r="J118">
        <f t="shared" si="2"/>
        <v>1989</v>
      </c>
      <c r="K118">
        <f t="shared" si="3"/>
        <v>11.018099547511312</v>
      </c>
    </row>
    <row r="119" spans="1:11">
      <c r="A119" t="s">
        <v>222</v>
      </c>
      <c r="B119" t="s">
        <v>14</v>
      </c>
      <c r="C119" t="s">
        <v>59</v>
      </c>
      <c r="D119">
        <v>1082</v>
      </c>
      <c r="E119">
        <v>209</v>
      </c>
      <c r="F119">
        <v>484</v>
      </c>
      <c r="G119">
        <v>19476</v>
      </c>
      <c r="H119">
        <v>20</v>
      </c>
      <c r="I119" t="s">
        <v>27</v>
      </c>
      <c r="J119">
        <f t="shared" si="2"/>
        <v>1775</v>
      </c>
      <c r="K119">
        <f t="shared" si="3"/>
        <v>10.972394366197182</v>
      </c>
    </row>
    <row r="120" spans="1:11">
      <c r="A120" t="s">
        <v>239</v>
      </c>
      <c r="B120" t="s">
        <v>30</v>
      </c>
      <c r="C120" t="s">
        <v>39</v>
      </c>
      <c r="D120">
        <v>3099</v>
      </c>
      <c r="E120">
        <v>694</v>
      </c>
      <c r="F120">
        <v>171</v>
      </c>
      <c r="G120">
        <v>43386</v>
      </c>
      <c r="H120">
        <v>52</v>
      </c>
      <c r="I120" t="s">
        <v>27</v>
      </c>
      <c r="J120">
        <f t="shared" si="2"/>
        <v>3964</v>
      </c>
      <c r="K120">
        <f t="shared" si="3"/>
        <v>10.945005045408678</v>
      </c>
    </row>
    <row r="121" spans="1:11">
      <c r="A121" t="s">
        <v>111</v>
      </c>
      <c r="B121" t="s">
        <v>38</v>
      </c>
      <c r="C121" t="s">
        <v>44</v>
      </c>
      <c r="D121">
        <v>1226</v>
      </c>
      <c r="E121">
        <v>119</v>
      </c>
      <c r="F121">
        <v>7</v>
      </c>
      <c r="G121">
        <v>14712</v>
      </c>
      <c r="H121">
        <v>123</v>
      </c>
      <c r="I121" t="s">
        <v>33</v>
      </c>
      <c r="J121">
        <f t="shared" si="2"/>
        <v>1352</v>
      </c>
      <c r="K121">
        <f t="shared" si="3"/>
        <v>10.881656804733728</v>
      </c>
    </row>
    <row r="122" spans="1:11">
      <c r="A122" t="s">
        <v>160</v>
      </c>
      <c r="B122" t="s">
        <v>25</v>
      </c>
      <c r="C122" t="s">
        <v>59</v>
      </c>
      <c r="D122">
        <v>1766</v>
      </c>
      <c r="E122">
        <v>92</v>
      </c>
      <c r="F122">
        <v>424</v>
      </c>
      <c r="G122">
        <v>24724</v>
      </c>
      <c r="H122">
        <v>52</v>
      </c>
      <c r="I122" t="s">
        <v>33</v>
      </c>
      <c r="J122">
        <f t="shared" si="2"/>
        <v>2282</v>
      </c>
      <c r="K122">
        <f t="shared" si="3"/>
        <v>10.834355828220859</v>
      </c>
    </row>
    <row r="123" spans="1:11">
      <c r="A123" t="s">
        <v>115</v>
      </c>
      <c r="B123" t="s">
        <v>30</v>
      </c>
      <c r="C123" t="s">
        <v>20</v>
      </c>
      <c r="D123">
        <v>2180</v>
      </c>
      <c r="E123">
        <v>263</v>
      </c>
      <c r="F123">
        <v>387</v>
      </c>
      <c r="G123">
        <v>30520</v>
      </c>
      <c r="H123">
        <v>174</v>
      </c>
      <c r="I123" t="s">
        <v>33</v>
      </c>
      <c r="J123">
        <f t="shared" si="2"/>
        <v>2830</v>
      </c>
      <c r="K123">
        <f t="shared" si="3"/>
        <v>10.784452296819788</v>
      </c>
    </row>
    <row r="124" spans="1:11">
      <c r="A124" t="s">
        <v>126</v>
      </c>
      <c r="B124" t="s">
        <v>14</v>
      </c>
      <c r="C124" t="s">
        <v>20</v>
      </c>
      <c r="D124">
        <v>1292</v>
      </c>
      <c r="E124">
        <v>626</v>
      </c>
      <c r="F124">
        <v>496</v>
      </c>
      <c r="G124">
        <v>25840</v>
      </c>
      <c r="H124">
        <v>149</v>
      </c>
      <c r="I124" t="s">
        <v>51</v>
      </c>
      <c r="J124">
        <f t="shared" si="2"/>
        <v>2414</v>
      </c>
      <c r="K124">
        <f t="shared" si="3"/>
        <v>10.704225352112676</v>
      </c>
    </row>
    <row r="125" spans="1:11">
      <c r="A125" t="s">
        <v>199</v>
      </c>
      <c r="B125" t="s">
        <v>25</v>
      </c>
      <c r="C125" t="s">
        <v>20</v>
      </c>
      <c r="D125">
        <v>2746</v>
      </c>
      <c r="E125">
        <v>156</v>
      </c>
      <c r="F125">
        <v>203</v>
      </c>
      <c r="G125">
        <v>32952</v>
      </c>
      <c r="H125">
        <v>147</v>
      </c>
      <c r="I125" t="s">
        <v>33</v>
      </c>
      <c r="J125">
        <f t="shared" si="2"/>
        <v>3105</v>
      </c>
      <c r="K125">
        <f t="shared" si="3"/>
        <v>10.612560386473429</v>
      </c>
    </row>
    <row r="126" spans="1:11">
      <c r="A126" t="s">
        <v>62</v>
      </c>
      <c r="B126" t="s">
        <v>38</v>
      </c>
      <c r="C126" t="s">
        <v>20</v>
      </c>
      <c r="D126">
        <v>4441</v>
      </c>
      <c r="E126">
        <v>511</v>
      </c>
      <c r="F126">
        <v>70</v>
      </c>
      <c r="G126">
        <v>53292</v>
      </c>
      <c r="H126">
        <v>159</v>
      </c>
      <c r="I126" t="s">
        <v>33</v>
      </c>
      <c r="J126">
        <f t="shared" si="2"/>
        <v>5022</v>
      </c>
      <c r="K126">
        <f t="shared" si="3"/>
        <v>10.611708482676224</v>
      </c>
    </row>
    <row r="127" spans="1:11">
      <c r="A127" t="s">
        <v>138</v>
      </c>
      <c r="B127" t="s">
        <v>30</v>
      </c>
      <c r="C127" t="s">
        <v>31</v>
      </c>
      <c r="D127">
        <v>1816</v>
      </c>
      <c r="E127">
        <v>29</v>
      </c>
      <c r="F127">
        <v>41</v>
      </c>
      <c r="G127">
        <v>19976</v>
      </c>
      <c r="H127">
        <v>283</v>
      </c>
      <c r="I127" t="s">
        <v>27</v>
      </c>
      <c r="J127">
        <f t="shared" si="2"/>
        <v>1886</v>
      </c>
      <c r="K127">
        <f t="shared" si="3"/>
        <v>10.591728525980912</v>
      </c>
    </row>
    <row r="128" spans="1:11">
      <c r="A128" t="s">
        <v>247</v>
      </c>
      <c r="B128" t="s">
        <v>30</v>
      </c>
      <c r="C128" t="s">
        <v>39</v>
      </c>
      <c r="D128">
        <v>4523</v>
      </c>
      <c r="E128">
        <v>61</v>
      </c>
      <c r="F128">
        <v>157</v>
      </c>
      <c r="G128">
        <v>49753</v>
      </c>
      <c r="H128">
        <v>71</v>
      </c>
      <c r="I128" t="s">
        <v>33</v>
      </c>
      <c r="J128">
        <f t="shared" si="2"/>
        <v>4741</v>
      </c>
      <c r="K128">
        <f t="shared" si="3"/>
        <v>10.494199535962878</v>
      </c>
    </row>
    <row r="129" spans="1:11">
      <c r="A129" t="s">
        <v>308</v>
      </c>
      <c r="B129" t="s">
        <v>14</v>
      </c>
      <c r="C129" t="s">
        <v>44</v>
      </c>
      <c r="D129">
        <v>3592</v>
      </c>
      <c r="E129">
        <v>911</v>
      </c>
      <c r="F129">
        <v>375</v>
      </c>
      <c r="G129">
        <v>50288</v>
      </c>
      <c r="H129">
        <v>32</v>
      </c>
      <c r="I129" t="s">
        <v>51</v>
      </c>
      <c r="J129">
        <f t="shared" si="2"/>
        <v>4878</v>
      </c>
      <c r="K129">
        <f t="shared" si="3"/>
        <v>10.309143091430915</v>
      </c>
    </row>
    <row r="130" spans="1:11">
      <c r="A130" t="s">
        <v>341</v>
      </c>
      <c r="B130" t="s">
        <v>25</v>
      </c>
      <c r="C130" t="s">
        <v>31</v>
      </c>
      <c r="D130">
        <v>3641</v>
      </c>
      <c r="E130">
        <v>226</v>
      </c>
      <c r="F130">
        <v>46</v>
      </c>
      <c r="G130">
        <v>40051</v>
      </c>
      <c r="H130">
        <v>296</v>
      </c>
      <c r="I130" t="s">
        <v>33</v>
      </c>
      <c r="J130">
        <f t="shared" ref="J130:J193" si="4">D130 + E130 + F130</f>
        <v>3913</v>
      </c>
      <c r="K130">
        <f t="shared" ref="K130:K193" si="5">G130/J130</f>
        <v>10.23536928188091</v>
      </c>
    </row>
    <row r="131" spans="1:11">
      <c r="A131" t="s">
        <v>233</v>
      </c>
      <c r="B131" t="s">
        <v>25</v>
      </c>
      <c r="C131" t="s">
        <v>59</v>
      </c>
      <c r="D131">
        <v>1018</v>
      </c>
      <c r="E131">
        <v>447</v>
      </c>
      <c r="F131">
        <v>332</v>
      </c>
      <c r="G131">
        <v>18324</v>
      </c>
      <c r="H131">
        <v>38</v>
      </c>
      <c r="I131" t="s">
        <v>51</v>
      </c>
      <c r="J131">
        <f t="shared" si="4"/>
        <v>1797</v>
      </c>
      <c r="K131">
        <f t="shared" si="5"/>
        <v>10.196994991652755</v>
      </c>
    </row>
    <row r="132" spans="1:11">
      <c r="A132" t="s">
        <v>96</v>
      </c>
      <c r="B132" t="s">
        <v>14</v>
      </c>
      <c r="C132" t="s">
        <v>44</v>
      </c>
      <c r="D132">
        <v>2358</v>
      </c>
      <c r="E132">
        <v>784</v>
      </c>
      <c r="F132">
        <v>344</v>
      </c>
      <c r="G132">
        <v>35370</v>
      </c>
      <c r="H132">
        <v>216</v>
      </c>
      <c r="I132" t="s">
        <v>27</v>
      </c>
      <c r="J132">
        <f t="shared" si="4"/>
        <v>3486</v>
      </c>
      <c r="K132">
        <f t="shared" si="5"/>
        <v>10.146299483648882</v>
      </c>
    </row>
    <row r="133" spans="1:11">
      <c r="A133" t="s">
        <v>229</v>
      </c>
      <c r="B133" t="s">
        <v>30</v>
      </c>
      <c r="C133" t="s">
        <v>20</v>
      </c>
      <c r="D133">
        <v>4771</v>
      </c>
      <c r="E133">
        <v>818</v>
      </c>
      <c r="F133">
        <v>56</v>
      </c>
      <c r="G133">
        <v>57252</v>
      </c>
      <c r="H133">
        <v>150</v>
      </c>
      <c r="I133" t="s">
        <v>51</v>
      </c>
      <c r="J133">
        <f t="shared" si="4"/>
        <v>5645</v>
      </c>
      <c r="K133">
        <f t="shared" si="5"/>
        <v>10.14207263064659</v>
      </c>
    </row>
    <row r="134" spans="1:11">
      <c r="A134" t="s">
        <v>255</v>
      </c>
      <c r="B134" t="s">
        <v>14</v>
      </c>
      <c r="C134" t="s">
        <v>44</v>
      </c>
      <c r="D134">
        <v>4858</v>
      </c>
      <c r="E134">
        <v>317</v>
      </c>
      <c r="F134">
        <v>129</v>
      </c>
      <c r="G134">
        <v>53438</v>
      </c>
      <c r="H134">
        <v>223</v>
      </c>
      <c r="I134" t="s">
        <v>33</v>
      </c>
      <c r="J134">
        <f t="shared" si="4"/>
        <v>5304</v>
      </c>
      <c r="K134">
        <f t="shared" si="5"/>
        <v>10.075037707390649</v>
      </c>
    </row>
    <row r="135" spans="1:11">
      <c r="A135" t="s">
        <v>253</v>
      </c>
      <c r="B135" t="s">
        <v>25</v>
      </c>
      <c r="C135" t="s">
        <v>31</v>
      </c>
      <c r="D135">
        <v>4285</v>
      </c>
      <c r="E135">
        <v>886</v>
      </c>
      <c r="F135">
        <v>376</v>
      </c>
      <c r="G135">
        <v>55705</v>
      </c>
      <c r="H135">
        <v>51</v>
      </c>
      <c r="I135" t="s">
        <v>51</v>
      </c>
      <c r="J135">
        <f t="shared" si="4"/>
        <v>5547</v>
      </c>
      <c r="K135">
        <f t="shared" si="5"/>
        <v>10.042365242473409</v>
      </c>
    </row>
    <row r="136" spans="1:11">
      <c r="A136" t="s">
        <v>163</v>
      </c>
      <c r="B136" t="s">
        <v>38</v>
      </c>
      <c r="C136" t="s">
        <v>44</v>
      </c>
      <c r="D136">
        <v>3689</v>
      </c>
      <c r="E136">
        <v>48</v>
      </c>
      <c r="F136">
        <v>306</v>
      </c>
      <c r="G136">
        <v>40579</v>
      </c>
      <c r="H136">
        <v>212</v>
      </c>
      <c r="I136" t="s">
        <v>33</v>
      </c>
      <c r="J136">
        <f t="shared" si="4"/>
        <v>4043</v>
      </c>
      <c r="K136">
        <f t="shared" si="5"/>
        <v>10.036853821419738</v>
      </c>
    </row>
    <row r="137" spans="1:11">
      <c r="A137" t="s">
        <v>186</v>
      </c>
      <c r="B137" t="s">
        <v>30</v>
      </c>
      <c r="C137" t="s">
        <v>39</v>
      </c>
      <c r="D137">
        <v>4158</v>
      </c>
      <c r="E137">
        <v>167</v>
      </c>
      <c r="F137">
        <v>241</v>
      </c>
      <c r="G137">
        <v>45738</v>
      </c>
      <c r="H137">
        <v>142</v>
      </c>
      <c r="I137" t="s">
        <v>51</v>
      </c>
      <c r="J137">
        <f t="shared" si="4"/>
        <v>4566</v>
      </c>
      <c r="K137">
        <f t="shared" si="5"/>
        <v>10.017082785808148</v>
      </c>
    </row>
    <row r="138" spans="1:11">
      <c r="A138" t="s">
        <v>168</v>
      </c>
      <c r="B138" t="s">
        <v>14</v>
      </c>
      <c r="C138" t="s">
        <v>59</v>
      </c>
      <c r="D138">
        <v>4050</v>
      </c>
      <c r="E138">
        <v>871</v>
      </c>
      <c r="F138">
        <v>347</v>
      </c>
      <c r="G138">
        <v>52650</v>
      </c>
      <c r="H138">
        <v>209</v>
      </c>
      <c r="I138" t="s">
        <v>27</v>
      </c>
      <c r="J138">
        <f t="shared" si="4"/>
        <v>5268</v>
      </c>
      <c r="K138">
        <f t="shared" si="5"/>
        <v>9.9943052391799547</v>
      </c>
    </row>
    <row r="139" spans="1:11">
      <c r="A139" t="s">
        <v>65</v>
      </c>
      <c r="B139" t="s">
        <v>30</v>
      </c>
      <c r="C139" t="s">
        <v>59</v>
      </c>
      <c r="D139">
        <v>1071</v>
      </c>
      <c r="E139">
        <v>519</v>
      </c>
      <c r="F139">
        <v>22</v>
      </c>
      <c r="G139">
        <v>16065</v>
      </c>
      <c r="H139">
        <v>103</v>
      </c>
      <c r="I139" t="s">
        <v>27</v>
      </c>
      <c r="J139">
        <f t="shared" si="4"/>
        <v>1612</v>
      </c>
      <c r="K139">
        <f t="shared" si="5"/>
        <v>9.9658808933002483</v>
      </c>
    </row>
    <row r="140" spans="1:11">
      <c r="A140" t="s">
        <v>334</v>
      </c>
      <c r="B140" t="s">
        <v>38</v>
      </c>
      <c r="C140" t="s">
        <v>31</v>
      </c>
      <c r="D140">
        <v>4182</v>
      </c>
      <c r="E140">
        <v>640</v>
      </c>
      <c r="F140">
        <v>240</v>
      </c>
      <c r="G140">
        <v>50184</v>
      </c>
      <c r="H140">
        <v>10</v>
      </c>
      <c r="I140" t="s">
        <v>27</v>
      </c>
      <c r="J140">
        <f t="shared" si="4"/>
        <v>5062</v>
      </c>
      <c r="K140">
        <f t="shared" si="5"/>
        <v>9.9138680363492693</v>
      </c>
    </row>
    <row r="141" spans="1:11">
      <c r="A141" t="s">
        <v>244</v>
      </c>
      <c r="B141" t="s">
        <v>38</v>
      </c>
      <c r="C141" t="s">
        <v>44</v>
      </c>
      <c r="D141">
        <v>4689</v>
      </c>
      <c r="E141">
        <v>134</v>
      </c>
      <c r="F141">
        <v>403</v>
      </c>
      <c r="G141">
        <v>51579</v>
      </c>
      <c r="H141">
        <v>173</v>
      </c>
      <c r="I141" t="s">
        <v>27</v>
      </c>
      <c r="J141">
        <f t="shared" si="4"/>
        <v>5226</v>
      </c>
      <c r="K141">
        <f t="shared" si="5"/>
        <v>9.8696900114810564</v>
      </c>
    </row>
    <row r="142" spans="1:11">
      <c r="A142" t="s">
        <v>63</v>
      </c>
      <c r="B142" t="s">
        <v>30</v>
      </c>
      <c r="C142" t="s">
        <v>15</v>
      </c>
      <c r="D142">
        <v>3000</v>
      </c>
      <c r="E142">
        <v>382</v>
      </c>
      <c r="F142">
        <v>325</v>
      </c>
      <c r="G142">
        <v>36000</v>
      </c>
      <c r="H142">
        <v>19</v>
      </c>
      <c r="I142" t="s">
        <v>51</v>
      </c>
      <c r="J142">
        <f t="shared" si="4"/>
        <v>3707</v>
      </c>
      <c r="K142">
        <f t="shared" si="5"/>
        <v>9.711356892365794</v>
      </c>
    </row>
    <row r="143" spans="1:11">
      <c r="A143" t="s">
        <v>156</v>
      </c>
      <c r="B143" t="s">
        <v>14</v>
      </c>
      <c r="C143" t="s">
        <v>44</v>
      </c>
      <c r="D143">
        <v>1238</v>
      </c>
      <c r="E143">
        <v>366</v>
      </c>
      <c r="F143">
        <v>444</v>
      </c>
      <c r="G143">
        <v>19808</v>
      </c>
      <c r="H143">
        <v>123</v>
      </c>
      <c r="I143" t="s">
        <v>51</v>
      </c>
      <c r="J143">
        <f t="shared" si="4"/>
        <v>2048</v>
      </c>
      <c r="K143">
        <f t="shared" si="5"/>
        <v>9.671875</v>
      </c>
    </row>
    <row r="144" spans="1:11">
      <c r="A144" t="s">
        <v>43</v>
      </c>
      <c r="B144" t="s">
        <v>25</v>
      </c>
      <c r="C144" t="s">
        <v>44</v>
      </c>
      <c r="D144">
        <v>3929</v>
      </c>
      <c r="E144">
        <v>262</v>
      </c>
      <c r="F144">
        <v>278</v>
      </c>
      <c r="G144">
        <v>43219</v>
      </c>
      <c r="H144">
        <v>39</v>
      </c>
      <c r="I144" t="s">
        <v>33</v>
      </c>
      <c r="J144">
        <f t="shared" si="4"/>
        <v>4469</v>
      </c>
      <c r="K144">
        <f t="shared" si="5"/>
        <v>9.6708435891698361</v>
      </c>
    </row>
    <row r="145" spans="1:11">
      <c r="A145" t="s">
        <v>267</v>
      </c>
      <c r="B145" t="s">
        <v>14</v>
      </c>
      <c r="C145" t="s">
        <v>59</v>
      </c>
      <c r="D145">
        <v>3820</v>
      </c>
      <c r="E145">
        <v>697</v>
      </c>
      <c r="F145">
        <v>268</v>
      </c>
      <c r="G145">
        <v>45840</v>
      </c>
      <c r="H145">
        <v>171</v>
      </c>
      <c r="I145" t="s">
        <v>268</v>
      </c>
      <c r="J145">
        <f t="shared" si="4"/>
        <v>4785</v>
      </c>
      <c r="K145">
        <f t="shared" si="5"/>
        <v>9.5799373040752354</v>
      </c>
    </row>
    <row r="146" spans="1:11">
      <c r="A146" t="s">
        <v>103</v>
      </c>
      <c r="B146" t="s">
        <v>14</v>
      </c>
      <c r="C146" t="s">
        <v>31</v>
      </c>
      <c r="D146">
        <v>2164</v>
      </c>
      <c r="E146">
        <v>549</v>
      </c>
      <c r="F146">
        <v>274</v>
      </c>
      <c r="G146">
        <v>28132</v>
      </c>
      <c r="H146">
        <v>177</v>
      </c>
      <c r="I146" t="s">
        <v>27</v>
      </c>
      <c r="J146">
        <f t="shared" si="4"/>
        <v>2987</v>
      </c>
      <c r="K146">
        <f t="shared" si="5"/>
        <v>9.4181452962838961</v>
      </c>
    </row>
    <row r="147" spans="1:11">
      <c r="A147" t="s">
        <v>350</v>
      </c>
      <c r="B147" t="s">
        <v>30</v>
      </c>
      <c r="C147" t="s">
        <v>59</v>
      </c>
      <c r="D147">
        <v>1488</v>
      </c>
      <c r="E147">
        <v>417</v>
      </c>
      <c r="F147">
        <v>168</v>
      </c>
      <c r="G147">
        <v>19344</v>
      </c>
      <c r="H147">
        <v>30</v>
      </c>
      <c r="I147" t="s">
        <v>51</v>
      </c>
      <c r="J147">
        <f t="shared" si="4"/>
        <v>2073</v>
      </c>
      <c r="K147">
        <f t="shared" si="5"/>
        <v>9.3314037626628075</v>
      </c>
    </row>
    <row r="148" spans="1:11">
      <c r="A148" t="s">
        <v>269</v>
      </c>
      <c r="B148" t="s">
        <v>14</v>
      </c>
      <c r="C148" t="s">
        <v>20</v>
      </c>
      <c r="D148">
        <v>941</v>
      </c>
      <c r="E148">
        <v>121</v>
      </c>
      <c r="F148">
        <v>458</v>
      </c>
      <c r="G148">
        <v>14115</v>
      </c>
      <c r="H148">
        <v>87</v>
      </c>
      <c r="I148" t="s">
        <v>33</v>
      </c>
      <c r="J148">
        <f t="shared" si="4"/>
        <v>1520</v>
      </c>
      <c r="K148">
        <f t="shared" si="5"/>
        <v>9.286184210526315</v>
      </c>
    </row>
    <row r="149" spans="1:11">
      <c r="A149" t="s">
        <v>219</v>
      </c>
      <c r="B149" t="s">
        <v>25</v>
      </c>
      <c r="C149" t="s">
        <v>31</v>
      </c>
      <c r="D149">
        <v>4775</v>
      </c>
      <c r="E149">
        <v>173</v>
      </c>
      <c r="F149">
        <v>206</v>
      </c>
      <c r="G149">
        <v>47750</v>
      </c>
      <c r="H149">
        <v>187</v>
      </c>
      <c r="I149" t="s">
        <v>51</v>
      </c>
      <c r="J149">
        <f t="shared" si="4"/>
        <v>5154</v>
      </c>
      <c r="K149">
        <f t="shared" si="5"/>
        <v>9.2646488164532403</v>
      </c>
    </row>
    <row r="150" spans="1:11">
      <c r="A150" t="s">
        <v>218</v>
      </c>
      <c r="B150" t="s">
        <v>38</v>
      </c>
      <c r="C150" t="s">
        <v>39</v>
      </c>
      <c r="D150">
        <v>3352</v>
      </c>
      <c r="E150">
        <v>941</v>
      </c>
      <c r="F150">
        <v>482</v>
      </c>
      <c r="G150">
        <v>43576</v>
      </c>
      <c r="H150">
        <v>240</v>
      </c>
      <c r="I150" t="s">
        <v>51</v>
      </c>
      <c r="J150">
        <f t="shared" si="4"/>
        <v>4775</v>
      </c>
      <c r="K150">
        <f t="shared" si="5"/>
        <v>9.1258638743455496</v>
      </c>
    </row>
    <row r="151" spans="1:11">
      <c r="A151" t="s">
        <v>213</v>
      </c>
      <c r="B151" t="s">
        <v>30</v>
      </c>
      <c r="C151" t="s">
        <v>44</v>
      </c>
      <c r="D151">
        <v>3559</v>
      </c>
      <c r="E151">
        <v>59</v>
      </c>
      <c r="F151">
        <v>289</v>
      </c>
      <c r="G151">
        <v>35590</v>
      </c>
      <c r="H151">
        <v>122</v>
      </c>
      <c r="I151" t="s">
        <v>33</v>
      </c>
      <c r="J151">
        <f t="shared" si="4"/>
        <v>3907</v>
      </c>
      <c r="K151">
        <f t="shared" si="5"/>
        <v>9.1092910161249048</v>
      </c>
    </row>
    <row r="152" spans="1:11">
      <c r="A152" t="s">
        <v>346</v>
      </c>
      <c r="B152" t="s">
        <v>14</v>
      </c>
      <c r="C152" t="s">
        <v>20</v>
      </c>
      <c r="D152">
        <v>4516</v>
      </c>
      <c r="E152">
        <v>836</v>
      </c>
      <c r="F152">
        <v>169</v>
      </c>
      <c r="G152">
        <v>49676</v>
      </c>
      <c r="H152">
        <v>282</v>
      </c>
      <c r="I152" t="s">
        <v>33</v>
      </c>
      <c r="J152">
        <f t="shared" si="4"/>
        <v>5521</v>
      </c>
      <c r="K152">
        <f t="shared" si="5"/>
        <v>8.9976453541025183</v>
      </c>
    </row>
    <row r="153" spans="1:11">
      <c r="A153" t="s">
        <v>285</v>
      </c>
      <c r="B153" t="s">
        <v>38</v>
      </c>
      <c r="C153" t="s">
        <v>15</v>
      </c>
      <c r="D153">
        <v>1814</v>
      </c>
      <c r="E153">
        <v>653</v>
      </c>
      <c r="F153">
        <v>363</v>
      </c>
      <c r="G153">
        <v>25396</v>
      </c>
      <c r="H153">
        <v>39</v>
      </c>
      <c r="I153" t="s">
        <v>286</v>
      </c>
      <c r="J153">
        <f t="shared" si="4"/>
        <v>2830</v>
      </c>
      <c r="K153">
        <f t="shared" si="5"/>
        <v>8.9738515901060065</v>
      </c>
    </row>
    <row r="154" spans="1:11">
      <c r="A154" t="s">
        <v>291</v>
      </c>
      <c r="B154" t="s">
        <v>30</v>
      </c>
      <c r="C154" t="s">
        <v>20</v>
      </c>
      <c r="D154">
        <v>246</v>
      </c>
      <c r="E154">
        <v>149</v>
      </c>
      <c r="F154">
        <v>130</v>
      </c>
      <c r="G154">
        <v>4674</v>
      </c>
      <c r="H154">
        <v>217</v>
      </c>
      <c r="I154" t="s">
        <v>51</v>
      </c>
      <c r="J154">
        <f t="shared" si="4"/>
        <v>525</v>
      </c>
      <c r="K154">
        <f t="shared" si="5"/>
        <v>8.9028571428571421</v>
      </c>
    </row>
    <row r="155" spans="1:11">
      <c r="A155" t="s">
        <v>158</v>
      </c>
      <c r="B155" t="s">
        <v>14</v>
      </c>
      <c r="C155" t="s">
        <v>31</v>
      </c>
      <c r="D155">
        <v>1575</v>
      </c>
      <c r="E155">
        <v>771</v>
      </c>
      <c r="F155">
        <v>486</v>
      </c>
      <c r="G155">
        <v>25200</v>
      </c>
      <c r="H155">
        <v>17</v>
      </c>
      <c r="I155" t="s">
        <v>51</v>
      </c>
      <c r="J155">
        <f t="shared" si="4"/>
        <v>2832</v>
      </c>
      <c r="K155">
        <f t="shared" si="5"/>
        <v>8.898305084745763</v>
      </c>
    </row>
    <row r="156" spans="1:11">
      <c r="A156" t="s">
        <v>220</v>
      </c>
      <c r="B156" t="s">
        <v>30</v>
      </c>
      <c r="C156" t="s">
        <v>31</v>
      </c>
      <c r="D156">
        <v>1762</v>
      </c>
      <c r="E156">
        <v>405</v>
      </c>
      <c r="F156">
        <v>423</v>
      </c>
      <c r="G156">
        <v>22906</v>
      </c>
      <c r="H156">
        <v>25</v>
      </c>
      <c r="I156" t="s">
        <v>27</v>
      </c>
      <c r="J156">
        <f t="shared" si="4"/>
        <v>2590</v>
      </c>
      <c r="K156">
        <f t="shared" si="5"/>
        <v>8.8440154440154437</v>
      </c>
    </row>
    <row r="157" spans="1:11">
      <c r="A157" t="s">
        <v>173</v>
      </c>
      <c r="B157" t="s">
        <v>14</v>
      </c>
      <c r="C157" t="s">
        <v>39</v>
      </c>
      <c r="D157">
        <v>4419</v>
      </c>
      <c r="E157">
        <v>236</v>
      </c>
      <c r="F157">
        <v>369</v>
      </c>
      <c r="G157">
        <v>44190</v>
      </c>
      <c r="H157">
        <v>10</v>
      </c>
      <c r="I157" t="s">
        <v>33</v>
      </c>
      <c r="J157">
        <f t="shared" si="4"/>
        <v>5024</v>
      </c>
      <c r="K157">
        <f t="shared" si="5"/>
        <v>8.7957802547770694</v>
      </c>
    </row>
    <row r="158" spans="1:11">
      <c r="A158" t="s">
        <v>352</v>
      </c>
      <c r="B158" t="s">
        <v>14</v>
      </c>
      <c r="C158" t="s">
        <v>20</v>
      </c>
      <c r="D158">
        <v>571</v>
      </c>
      <c r="E158">
        <v>190</v>
      </c>
      <c r="F158">
        <v>352</v>
      </c>
      <c r="G158">
        <v>9707</v>
      </c>
      <c r="H158">
        <v>231</v>
      </c>
      <c r="I158" t="s">
        <v>27</v>
      </c>
      <c r="J158">
        <f t="shared" si="4"/>
        <v>1113</v>
      </c>
      <c r="K158">
        <f t="shared" si="5"/>
        <v>8.721473495058401</v>
      </c>
    </row>
    <row r="159" spans="1:11">
      <c r="A159" t="s">
        <v>217</v>
      </c>
      <c r="B159" t="s">
        <v>25</v>
      </c>
      <c r="C159" t="s">
        <v>44</v>
      </c>
      <c r="D159">
        <v>2283</v>
      </c>
      <c r="E159">
        <v>210</v>
      </c>
      <c r="F159">
        <v>130</v>
      </c>
      <c r="G159">
        <v>22830</v>
      </c>
      <c r="H159">
        <v>143</v>
      </c>
      <c r="I159" t="s">
        <v>51</v>
      </c>
      <c r="J159">
        <f t="shared" si="4"/>
        <v>2623</v>
      </c>
      <c r="K159">
        <f t="shared" si="5"/>
        <v>8.7037743042317963</v>
      </c>
    </row>
    <row r="160" spans="1:11">
      <c r="A160" t="s">
        <v>223</v>
      </c>
      <c r="B160" t="s">
        <v>14</v>
      </c>
      <c r="C160" t="s">
        <v>20</v>
      </c>
      <c r="D160">
        <v>4671</v>
      </c>
      <c r="E160">
        <v>876</v>
      </c>
      <c r="F160">
        <v>366</v>
      </c>
      <c r="G160">
        <v>51381</v>
      </c>
      <c r="H160">
        <v>245</v>
      </c>
      <c r="I160" t="s">
        <v>27</v>
      </c>
      <c r="J160">
        <f t="shared" si="4"/>
        <v>5913</v>
      </c>
      <c r="K160">
        <f t="shared" si="5"/>
        <v>8.6894977168949765</v>
      </c>
    </row>
    <row r="161" spans="1:11">
      <c r="A161" t="s">
        <v>50</v>
      </c>
      <c r="B161" t="s">
        <v>30</v>
      </c>
      <c r="C161" t="s">
        <v>31</v>
      </c>
      <c r="D161">
        <v>1792</v>
      </c>
      <c r="E161">
        <v>614</v>
      </c>
      <c r="F161">
        <v>497</v>
      </c>
      <c r="G161">
        <v>25088</v>
      </c>
      <c r="H161">
        <v>65</v>
      </c>
      <c r="I161" t="s">
        <v>51</v>
      </c>
      <c r="J161">
        <f t="shared" si="4"/>
        <v>2903</v>
      </c>
      <c r="K161">
        <f t="shared" si="5"/>
        <v>8.6420943851188419</v>
      </c>
    </row>
    <row r="162" spans="1:11">
      <c r="A162" t="s">
        <v>317</v>
      </c>
      <c r="B162" t="s">
        <v>30</v>
      </c>
      <c r="C162" t="s">
        <v>39</v>
      </c>
      <c r="D162">
        <v>1377</v>
      </c>
      <c r="E162">
        <v>796</v>
      </c>
      <c r="F162">
        <v>387</v>
      </c>
      <c r="G162">
        <v>22032</v>
      </c>
      <c r="H162">
        <v>189</v>
      </c>
      <c r="I162" t="s">
        <v>51</v>
      </c>
      <c r="J162">
        <f t="shared" si="4"/>
        <v>2560</v>
      </c>
      <c r="K162">
        <f t="shared" si="5"/>
        <v>8.6062499999999993</v>
      </c>
    </row>
    <row r="163" spans="1:11">
      <c r="A163" t="s">
        <v>177</v>
      </c>
      <c r="B163" t="s">
        <v>14</v>
      </c>
      <c r="C163" t="s">
        <v>44</v>
      </c>
      <c r="D163">
        <v>1606</v>
      </c>
      <c r="E163">
        <v>451</v>
      </c>
      <c r="F163">
        <v>405</v>
      </c>
      <c r="G163">
        <v>20878</v>
      </c>
      <c r="H163">
        <v>219</v>
      </c>
      <c r="I163" t="s">
        <v>33</v>
      </c>
      <c r="J163">
        <f t="shared" si="4"/>
        <v>2462</v>
      </c>
      <c r="K163">
        <f t="shared" si="5"/>
        <v>8.4800974817221775</v>
      </c>
    </row>
    <row r="164" spans="1:11">
      <c r="A164" t="s">
        <v>86</v>
      </c>
      <c r="B164" t="s">
        <v>30</v>
      </c>
      <c r="C164" t="s">
        <v>59</v>
      </c>
      <c r="D164">
        <v>3775</v>
      </c>
      <c r="E164">
        <v>16</v>
      </c>
      <c r="F164">
        <v>239</v>
      </c>
      <c r="G164">
        <v>33975</v>
      </c>
      <c r="H164">
        <v>271</v>
      </c>
      <c r="I164" t="s">
        <v>51</v>
      </c>
      <c r="J164">
        <f t="shared" si="4"/>
        <v>4030</v>
      </c>
      <c r="K164">
        <f t="shared" si="5"/>
        <v>8.4305210918114142</v>
      </c>
    </row>
    <row r="165" spans="1:11">
      <c r="A165" t="s">
        <v>312</v>
      </c>
      <c r="B165" t="s">
        <v>38</v>
      </c>
      <c r="C165" t="s">
        <v>15</v>
      </c>
      <c r="D165">
        <v>3960</v>
      </c>
      <c r="E165">
        <v>266</v>
      </c>
      <c r="F165">
        <v>8</v>
      </c>
      <c r="G165">
        <v>35640</v>
      </c>
      <c r="H165">
        <v>208</v>
      </c>
      <c r="I165" t="s">
        <v>313</v>
      </c>
      <c r="J165">
        <f t="shared" si="4"/>
        <v>4234</v>
      </c>
      <c r="K165">
        <f t="shared" si="5"/>
        <v>8.4175720358998589</v>
      </c>
    </row>
    <row r="166" spans="1:11">
      <c r="A166" t="s">
        <v>122</v>
      </c>
      <c r="B166" t="s">
        <v>30</v>
      </c>
      <c r="C166" t="s">
        <v>31</v>
      </c>
      <c r="D166">
        <v>1881</v>
      </c>
      <c r="E166">
        <v>501</v>
      </c>
      <c r="F166">
        <v>99</v>
      </c>
      <c r="G166">
        <v>20691</v>
      </c>
      <c r="H166">
        <v>289</v>
      </c>
      <c r="I166" t="s">
        <v>33</v>
      </c>
      <c r="J166">
        <f t="shared" si="4"/>
        <v>2481</v>
      </c>
      <c r="K166">
        <f t="shared" si="5"/>
        <v>8.3397823458282954</v>
      </c>
    </row>
    <row r="167" spans="1:11">
      <c r="A167" t="s">
        <v>128</v>
      </c>
      <c r="B167" t="s">
        <v>25</v>
      </c>
      <c r="C167" t="s">
        <v>39</v>
      </c>
      <c r="D167">
        <v>2551</v>
      </c>
      <c r="E167">
        <v>915</v>
      </c>
      <c r="F167">
        <v>205</v>
      </c>
      <c r="G167">
        <v>30612</v>
      </c>
      <c r="H167">
        <v>227</v>
      </c>
      <c r="I167" t="s">
        <v>27</v>
      </c>
      <c r="J167">
        <f t="shared" si="4"/>
        <v>3671</v>
      </c>
      <c r="K167">
        <f t="shared" si="5"/>
        <v>8.3388722418959418</v>
      </c>
    </row>
    <row r="168" spans="1:11">
      <c r="A168" t="s">
        <v>321</v>
      </c>
      <c r="B168" t="s">
        <v>38</v>
      </c>
      <c r="C168" t="s">
        <v>31</v>
      </c>
      <c r="D168">
        <v>3767</v>
      </c>
      <c r="E168">
        <v>514</v>
      </c>
      <c r="F168">
        <v>238</v>
      </c>
      <c r="G168">
        <v>37670</v>
      </c>
      <c r="H168">
        <v>226</v>
      </c>
      <c r="I168" t="s">
        <v>51</v>
      </c>
      <c r="J168">
        <f t="shared" si="4"/>
        <v>4519</v>
      </c>
      <c r="K168">
        <f t="shared" si="5"/>
        <v>8.3359150254481076</v>
      </c>
    </row>
    <row r="169" spans="1:11">
      <c r="A169" t="s">
        <v>132</v>
      </c>
      <c r="B169" t="s">
        <v>30</v>
      </c>
      <c r="C169" t="s">
        <v>15</v>
      </c>
      <c r="D169">
        <v>1674</v>
      </c>
      <c r="E169">
        <v>929</v>
      </c>
      <c r="F169">
        <v>37</v>
      </c>
      <c r="G169">
        <v>21762</v>
      </c>
      <c r="H169">
        <v>255</v>
      </c>
      <c r="I169" t="s">
        <v>27</v>
      </c>
      <c r="J169">
        <f t="shared" si="4"/>
        <v>2640</v>
      </c>
      <c r="K169">
        <f t="shared" si="5"/>
        <v>8.2431818181818191</v>
      </c>
    </row>
    <row r="170" spans="1:11">
      <c r="A170" t="s">
        <v>310</v>
      </c>
      <c r="B170" t="s">
        <v>38</v>
      </c>
      <c r="C170" t="s">
        <v>15</v>
      </c>
      <c r="D170">
        <v>4134</v>
      </c>
      <c r="E170">
        <v>824</v>
      </c>
      <c r="F170">
        <v>99</v>
      </c>
      <c r="G170">
        <v>41340</v>
      </c>
      <c r="H170">
        <v>177</v>
      </c>
      <c r="I170" t="s">
        <v>33</v>
      </c>
      <c r="J170">
        <f t="shared" si="4"/>
        <v>5057</v>
      </c>
      <c r="K170">
        <f t="shared" si="5"/>
        <v>8.1748071979434442</v>
      </c>
    </row>
    <row r="171" spans="1:11">
      <c r="A171" t="s">
        <v>170</v>
      </c>
      <c r="B171" t="s">
        <v>30</v>
      </c>
      <c r="C171" t="s">
        <v>15</v>
      </c>
      <c r="D171">
        <v>3523</v>
      </c>
      <c r="E171">
        <v>753</v>
      </c>
      <c r="F171">
        <v>482</v>
      </c>
      <c r="G171">
        <v>38753</v>
      </c>
      <c r="H171">
        <v>270</v>
      </c>
      <c r="I171" t="s">
        <v>33</v>
      </c>
      <c r="J171">
        <f t="shared" si="4"/>
        <v>4758</v>
      </c>
      <c r="K171">
        <f t="shared" si="5"/>
        <v>8.1448087431693992</v>
      </c>
    </row>
    <row r="172" spans="1:11">
      <c r="A172" t="s">
        <v>275</v>
      </c>
      <c r="B172" t="s">
        <v>25</v>
      </c>
      <c r="C172" t="s">
        <v>59</v>
      </c>
      <c r="D172">
        <v>3874</v>
      </c>
      <c r="E172">
        <v>884</v>
      </c>
      <c r="F172">
        <v>19</v>
      </c>
      <c r="G172">
        <v>38740</v>
      </c>
      <c r="H172">
        <v>219</v>
      </c>
      <c r="I172" t="s">
        <v>27</v>
      </c>
      <c r="J172">
        <f t="shared" si="4"/>
        <v>4777</v>
      </c>
      <c r="K172">
        <f t="shared" si="5"/>
        <v>8.109692275486708</v>
      </c>
    </row>
    <row r="173" spans="1:11">
      <c r="A173" t="s">
        <v>360</v>
      </c>
      <c r="B173" t="s">
        <v>38</v>
      </c>
      <c r="C173" t="s">
        <v>20</v>
      </c>
      <c r="D173">
        <v>880</v>
      </c>
      <c r="E173">
        <v>297</v>
      </c>
      <c r="F173">
        <v>345</v>
      </c>
      <c r="G173">
        <v>12320</v>
      </c>
      <c r="H173">
        <v>238</v>
      </c>
      <c r="I173" t="s">
        <v>72</v>
      </c>
      <c r="J173">
        <f t="shared" si="4"/>
        <v>1522</v>
      </c>
      <c r="K173">
        <f t="shared" si="5"/>
        <v>8.0946123521682001</v>
      </c>
    </row>
    <row r="174" spans="1:11">
      <c r="A174" t="s">
        <v>361</v>
      </c>
      <c r="B174" t="s">
        <v>38</v>
      </c>
      <c r="C174" t="s">
        <v>20</v>
      </c>
      <c r="D174">
        <v>2634</v>
      </c>
      <c r="E174">
        <v>726</v>
      </c>
      <c r="F174">
        <v>241</v>
      </c>
      <c r="G174">
        <v>28974</v>
      </c>
      <c r="H174">
        <v>277</v>
      </c>
      <c r="I174" t="s">
        <v>33</v>
      </c>
      <c r="J174">
        <f t="shared" si="4"/>
        <v>3601</v>
      </c>
      <c r="K174">
        <f t="shared" si="5"/>
        <v>8.0460983060261047</v>
      </c>
    </row>
    <row r="175" spans="1:11">
      <c r="A175" t="s">
        <v>231</v>
      </c>
      <c r="B175" t="s">
        <v>25</v>
      </c>
      <c r="C175" t="s">
        <v>59</v>
      </c>
      <c r="D175">
        <v>3809</v>
      </c>
      <c r="E175">
        <v>273</v>
      </c>
      <c r="F175">
        <v>200</v>
      </c>
      <c r="G175">
        <v>34281</v>
      </c>
      <c r="H175">
        <v>83</v>
      </c>
      <c r="I175" t="s">
        <v>33</v>
      </c>
      <c r="J175">
        <f t="shared" si="4"/>
        <v>4282</v>
      </c>
      <c r="K175">
        <f t="shared" si="5"/>
        <v>8.0058383932741712</v>
      </c>
    </row>
    <row r="176" spans="1:11">
      <c r="A176" t="s">
        <v>188</v>
      </c>
      <c r="B176" t="s">
        <v>14</v>
      </c>
      <c r="C176" t="s">
        <v>44</v>
      </c>
      <c r="D176">
        <v>3092</v>
      </c>
      <c r="E176">
        <v>106</v>
      </c>
      <c r="F176">
        <v>291</v>
      </c>
      <c r="G176">
        <v>27828</v>
      </c>
      <c r="H176">
        <v>102</v>
      </c>
      <c r="I176" t="s">
        <v>51</v>
      </c>
      <c r="J176">
        <f t="shared" si="4"/>
        <v>3489</v>
      </c>
      <c r="K176">
        <f t="shared" si="5"/>
        <v>7.9759243336199486</v>
      </c>
    </row>
    <row r="177" spans="1:11">
      <c r="A177" t="s">
        <v>258</v>
      </c>
      <c r="B177" t="s">
        <v>30</v>
      </c>
      <c r="C177" t="s">
        <v>20</v>
      </c>
      <c r="D177">
        <v>1813</v>
      </c>
      <c r="E177">
        <v>623</v>
      </c>
      <c r="F177">
        <v>72</v>
      </c>
      <c r="G177">
        <v>19943</v>
      </c>
      <c r="H177">
        <v>85</v>
      </c>
      <c r="I177" t="s">
        <v>33</v>
      </c>
      <c r="J177">
        <f t="shared" si="4"/>
        <v>2508</v>
      </c>
      <c r="K177">
        <f t="shared" si="5"/>
        <v>7.9517543859649127</v>
      </c>
    </row>
    <row r="178" spans="1:11">
      <c r="A178" t="s">
        <v>89</v>
      </c>
      <c r="B178" t="s">
        <v>25</v>
      </c>
      <c r="C178" t="s">
        <v>15</v>
      </c>
      <c r="D178">
        <v>3138</v>
      </c>
      <c r="E178">
        <v>123</v>
      </c>
      <c r="F178">
        <v>291</v>
      </c>
      <c r="G178">
        <v>28242</v>
      </c>
      <c r="H178">
        <v>87</v>
      </c>
      <c r="I178" t="s">
        <v>27</v>
      </c>
      <c r="J178">
        <f t="shared" si="4"/>
        <v>3552</v>
      </c>
      <c r="K178">
        <f t="shared" si="5"/>
        <v>7.9510135135135132</v>
      </c>
    </row>
    <row r="179" spans="1:11">
      <c r="A179" t="s">
        <v>84</v>
      </c>
      <c r="B179" t="s">
        <v>38</v>
      </c>
      <c r="C179" t="s">
        <v>44</v>
      </c>
      <c r="D179">
        <v>1407</v>
      </c>
      <c r="E179">
        <v>400</v>
      </c>
      <c r="F179">
        <v>351</v>
      </c>
      <c r="G179">
        <v>16884</v>
      </c>
      <c r="H179">
        <v>113</v>
      </c>
      <c r="I179" t="s">
        <v>27</v>
      </c>
      <c r="J179">
        <f t="shared" si="4"/>
        <v>2158</v>
      </c>
      <c r="K179">
        <f t="shared" si="5"/>
        <v>7.823911028730306</v>
      </c>
    </row>
    <row r="180" spans="1:11">
      <c r="A180" t="s">
        <v>299</v>
      </c>
      <c r="B180" t="s">
        <v>38</v>
      </c>
      <c r="C180" t="s">
        <v>44</v>
      </c>
      <c r="D180">
        <v>3196</v>
      </c>
      <c r="E180">
        <v>941</v>
      </c>
      <c r="F180">
        <v>376</v>
      </c>
      <c r="G180">
        <v>35156</v>
      </c>
      <c r="H180">
        <v>241</v>
      </c>
      <c r="I180" t="s">
        <v>27</v>
      </c>
      <c r="J180">
        <f t="shared" si="4"/>
        <v>4513</v>
      </c>
      <c r="K180">
        <f t="shared" si="5"/>
        <v>7.7899401728340347</v>
      </c>
    </row>
    <row r="181" spans="1:11">
      <c r="A181" t="s">
        <v>52</v>
      </c>
      <c r="B181" t="s">
        <v>38</v>
      </c>
      <c r="C181" t="s">
        <v>15</v>
      </c>
      <c r="D181">
        <v>1946</v>
      </c>
      <c r="E181">
        <v>686</v>
      </c>
      <c r="F181">
        <v>377</v>
      </c>
      <c r="G181">
        <v>23352</v>
      </c>
      <c r="H181">
        <v>213</v>
      </c>
      <c r="I181" t="s">
        <v>51</v>
      </c>
      <c r="J181">
        <f t="shared" si="4"/>
        <v>3009</v>
      </c>
      <c r="K181">
        <f t="shared" si="5"/>
        <v>7.7607178464606186</v>
      </c>
    </row>
    <row r="182" spans="1:11">
      <c r="A182" t="s">
        <v>165</v>
      </c>
      <c r="B182" t="s">
        <v>30</v>
      </c>
      <c r="C182" t="s">
        <v>39</v>
      </c>
      <c r="D182">
        <v>498</v>
      </c>
      <c r="E182">
        <v>38</v>
      </c>
      <c r="F182">
        <v>42</v>
      </c>
      <c r="G182">
        <v>4482</v>
      </c>
      <c r="H182">
        <v>32</v>
      </c>
      <c r="I182" t="s">
        <v>51</v>
      </c>
      <c r="J182">
        <f t="shared" si="4"/>
        <v>578</v>
      </c>
      <c r="K182">
        <f t="shared" si="5"/>
        <v>7.7543252595155705</v>
      </c>
    </row>
    <row r="183" spans="1:11">
      <c r="A183" t="s">
        <v>112</v>
      </c>
      <c r="B183" t="s">
        <v>38</v>
      </c>
      <c r="C183" t="s">
        <v>39</v>
      </c>
      <c r="D183">
        <v>2946</v>
      </c>
      <c r="E183">
        <v>498</v>
      </c>
      <c r="F183">
        <v>367</v>
      </c>
      <c r="G183">
        <v>29460</v>
      </c>
      <c r="H183">
        <v>60</v>
      </c>
      <c r="I183" t="s">
        <v>51</v>
      </c>
      <c r="J183">
        <f t="shared" si="4"/>
        <v>3811</v>
      </c>
      <c r="K183">
        <f t="shared" si="5"/>
        <v>7.7302545263710316</v>
      </c>
    </row>
    <row r="184" spans="1:11">
      <c r="A184" t="s">
        <v>174</v>
      </c>
      <c r="B184" t="s">
        <v>14</v>
      </c>
      <c r="C184" t="s">
        <v>31</v>
      </c>
      <c r="D184">
        <v>4000</v>
      </c>
      <c r="E184">
        <v>689</v>
      </c>
      <c r="F184">
        <v>488</v>
      </c>
      <c r="G184">
        <v>40000</v>
      </c>
      <c r="H184">
        <v>44</v>
      </c>
      <c r="I184" t="s">
        <v>51</v>
      </c>
      <c r="J184">
        <f t="shared" si="4"/>
        <v>5177</v>
      </c>
      <c r="K184">
        <f t="shared" si="5"/>
        <v>7.7264825188333015</v>
      </c>
    </row>
    <row r="185" spans="1:11">
      <c r="A185" t="s">
        <v>300</v>
      </c>
      <c r="B185" t="s">
        <v>38</v>
      </c>
      <c r="C185" t="s">
        <v>20</v>
      </c>
      <c r="D185">
        <v>1257</v>
      </c>
      <c r="E185">
        <v>19</v>
      </c>
      <c r="F185">
        <v>351</v>
      </c>
      <c r="G185">
        <v>12570</v>
      </c>
      <c r="H185">
        <v>194</v>
      </c>
      <c r="I185" t="s">
        <v>301</v>
      </c>
      <c r="J185">
        <f t="shared" si="4"/>
        <v>1627</v>
      </c>
      <c r="K185">
        <f t="shared" si="5"/>
        <v>7.7258758451137064</v>
      </c>
    </row>
    <row r="186" spans="1:11">
      <c r="A186" t="s">
        <v>191</v>
      </c>
      <c r="B186" t="s">
        <v>30</v>
      </c>
      <c r="C186" t="s">
        <v>15</v>
      </c>
      <c r="D186">
        <v>4840</v>
      </c>
      <c r="E186">
        <v>658</v>
      </c>
      <c r="F186">
        <v>211</v>
      </c>
      <c r="G186">
        <v>43560</v>
      </c>
      <c r="H186">
        <v>57</v>
      </c>
      <c r="I186" t="s">
        <v>51</v>
      </c>
      <c r="J186">
        <f t="shared" si="4"/>
        <v>5709</v>
      </c>
      <c r="K186">
        <f t="shared" si="5"/>
        <v>7.6300578034682083</v>
      </c>
    </row>
    <row r="187" spans="1:11">
      <c r="A187" t="s">
        <v>320</v>
      </c>
      <c r="B187" t="s">
        <v>14</v>
      </c>
      <c r="C187" t="s">
        <v>44</v>
      </c>
      <c r="D187">
        <v>2692</v>
      </c>
      <c r="E187">
        <v>115</v>
      </c>
      <c r="F187">
        <v>64</v>
      </c>
      <c r="G187">
        <v>21536</v>
      </c>
      <c r="H187">
        <v>224</v>
      </c>
      <c r="I187" t="s">
        <v>51</v>
      </c>
      <c r="J187">
        <f t="shared" si="4"/>
        <v>2871</v>
      </c>
      <c r="K187">
        <f t="shared" si="5"/>
        <v>7.5012190874259836</v>
      </c>
    </row>
    <row r="188" spans="1:11">
      <c r="A188" t="s">
        <v>131</v>
      </c>
      <c r="B188" t="s">
        <v>25</v>
      </c>
      <c r="C188" t="s">
        <v>15</v>
      </c>
      <c r="D188">
        <v>1855</v>
      </c>
      <c r="E188">
        <v>200</v>
      </c>
      <c r="F188">
        <v>174</v>
      </c>
      <c r="G188">
        <v>16695</v>
      </c>
      <c r="H188">
        <v>123</v>
      </c>
      <c r="I188" t="s">
        <v>27</v>
      </c>
      <c r="J188">
        <f t="shared" si="4"/>
        <v>2229</v>
      </c>
      <c r="K188">
        <f t="shared" si="5"/>
        <v>7.4899057873485866</v>
      </c>
    </row>
    <row r="189" spans="1:11">
      <c r="A189" t="s">
        <v>293</v>
      </c>
      <c r="B189" t="s">
        <v>30</v>
      </c>
      <c r="C189" t="s">
        <v>39</v>
      </c>
      <c r="D189">
        <v>4799</v>
      </c>
      <c r="E189">
        <v>694</v>
      </c>
      <c r="F189">
        <v>289</v>
      </c>
      <c r="G189">
        <v>43191</v>
      </c>
      <c r="H189">
        <v>118</v>
      </c>
      <c r="I189" t="s">
        <v>27</v>
      </c>
      <c r="J189">
        <f t="shared" si="4"/>
        <v>5782</v>
      </c>
      <c r="K189">
        <f t="shared" si="5"/>
        <v>7.4699066067104809</v>
      </c>
    </row>
    <row r="190" spans="1:11">
      <c r="A190" t="s">
        <v>192</v>
      </c>
      <c r="B190" t="s">
        <v>30</v>
      </c>
      <c r="C190" t="s">
        <v>31</v>
      </c>
      <c r="D190">
        <v>1947</v>
      </c>
      <c r="E190">
        <v>842</v>
      </c>
      <c r="F190">
        <v>101</v>
      </c>
      <c r="G190">
        <v>21417</v>
      </c>
      <c r="H190">
        <v>186</v>
      </c>
      <c r="I190" t="s">
        <v>51</v>
      </c>
      <c r="J190">
        <f t="shared" si="4"/>
        <v>2890</v>
      </c>
      <c r="K190">
        <f t="shared" si="5"/>
        <v>7.4107266435986157</v>
      </c>
    </row>
    <row r="191" spans="1:11">
      <c r="A191" t="s">
        <v>104</v>
      </c>
      <c r="B191" t="s">
        <v>25</v>
      </c>
      <c r="C191" t="s">
        <v>31</v>
      </c>
      <c r="D191">
        <v>2754</v>
      </c>
      <c r="E191">
        <v>130</v>
      </c>
      <c r="F191">
        <v>90</v>
      </c>
      <c r="G191">
        <v>22032</v>
      </c>
      <c r="H191">
        <v>112</v>
      </c>
      <c r="I191" t="s">
        <v>27</v>
      </c>
      <c r="J191">
        <f t="shared" si="4"/>
        <v>2974</v>
      </c>
      <c r="K191">
        <f t="shared" si="5"/>
        <v>7.4082044384667114</v>
      </c>
    </row>
    <row r="192" spans="1:11">
      <c r="A192" t="s">
        <v>353</v>
      </c>
      <c r="B192" t="s">
        <v>25</v>
      </c>
      <c r="C192" t="s">
        <v>20</v>
      </c>
      <c r="D192">
        <v>4021</v>
      </c>
      <c r="E192">
        <v>794</v>
      </c>
      <c r="F192">
        <v>77</v>
      </c>
      <c r="G192">
        <v>36189</v>
      </c>
      <c r="H192">
        <v>174</v>
      </c>
      <c r="I192" t="s">
        <v>33</v>
      </c>
      <c r="J192">
        <f t="shared" si="4"/>
        <v>4892</v>
      </c>
      <c r="K192">
        <f t="shared" si="5"/>
        <v>7.3975878986099755</v>
      </c>
    </row>
    <row r="193" spans="1:11">
      <c r="A193" t="s">
        <v>148</v>
      </c>
      <c r="B193" t="s">
        <v>38</v>
      </c>
      <c r="C193" t="s">
        <v>31</v>
      </c>
      <c r="D193">
        <v>302</v>
      </c>
      <c r="E193">
        <v>47</v>
      </c>
      <c r="F193">
        <v>430</v>
      </c>
      <c r="G193">
        <v>5738</v>
      </c>
      <c r="H193">
        <v>25</v>
      </c>
      <c r="I193" t="s">
        <v>27</v>
      </c>
      <c r="J193">
        <f t="shared" si="4"/>
        <v>779</v>
      </c>
      <c r="K193">
        <f t="shared" si="5"/>
        <v>7.3658536585365857</v>
      </c>
    </row>
    <row r="194" spans="1:11">
      <c r="A194" t="s">
        <v>152</v>
      </c>
      <c r="B194" t="s">
        <v>14</v>
      </c>
      <c r="C194" t="s">
        <v>31</v>
      </c>
      <c r="D194">
        <v>3801</v>
      </c>
      <c r="E194">
        <v>967</v>
      </c>
      <c r="F194">
        <v>401</v>
      </c>
      <c r="G194">
        <v>38010</v>
      </c>
      <c r="H194">
        <v>236</v>
      </c>
      <c r="I194" t="s">
        <v>51</v>
      </c>
      <c r="J194">
        <f t="shared" ref="J194:J257" si="6">D194 + E194 + F194</f>
        <v>5169</v>
      </c>
      <c r="K194">
        <f t="shared" ref="K194:K257" si="7">G194/J194</f>
        <v>7.3534532791642482</v>
      </c>
    </row>
    <row r="195" spans="1:11">
      <c r="A195" t="s">
        <v>246</v>
      </c>
      <c r="B195" t="s">
        <v>14</v>
      </c>
      <c r="C195" t="s">
        <v>44</v>
      </c>
      <c r="D195">
        <v>3215</v>
      </c>
      <c r="E195">
        <v>960</v>
      </c>
      <c r="F195">
        <v>202</v>
      </c>
      <c r="G195">
        <v>32150</v>
      </c>
      <c r="H195">
        <v>251</v>
      </c>
      <c r="I195" t="s">
        <v>33</v>
      </c>
      <c r="J195">
        <f t="shared" si="6"/>
        <v>4377</v>
      </c>
      <c r="K195">
        <f t="shared" si="7"/>
        <v>7.3452136166323969</v>
      </c>
    </row>
    <row r="196" spans="1:11">
      <c r="A196" t="s">
        <v>257</v>
      </c>
      <c r="B196" t="s">
        <v>30</v>
      </c>
      <c r="C196" t="s">
        <v>39</v>
      </c>
      <c r="D196">
        <v>914</v>
      </c>
      <c r="E196">
        <v>464</v>
      </c>
      <c r="F196">
        <v>246</v>
      </c>
      <c r="G196">
        <v>11882</v>
      </c>
      <c r="H196">
        <v>282</v>
      </c>
      <c r="I196" t="s">
        <v>141</v>
      </c>
      <c r="J196">
        <f t="shared" si="6"/>
        <v>1624</v>
      </c>
      <c r="K196">
        <f t="shared" si="7"/>
        <v>7.3165024630541868</v>
      </c>
    </row>
    <row r="197" spans="1:11">
      <c r="A197" t="s">
        <v>164</v>
      </c>
      <c r="B197" t="s">
        <v>25</v>
      </c>
      <c r="C197" t="s">
        <v>31</v>
      </c>
      <c r="D197">
        <v>3655</v>
      </c>
      <c r="E197">
        <v>568</v>
      </c>
      <c r="F197">
        <v>286</v>
      </c>
      <c r="G197">
        <v>32895</v>
      </c>
      <c r="H197">
        <v>199</v>
      </c>
      <c r="I197" t="s">
        <v>27</v>
      </c>
      <c r="J197">
        <f t="shared" si="6"/>
        <v>4509</v>
      </c>
      <c r="K197">
        <f t="shared" si="7"/>
        <v>7.2954091816367264</v>
      </c>
    </row>
    <row r="198" spans="1:11">
      <c r="A198" t="s">
        <v>236</v>
      </c>
      <c r="B198" t="s">
        <v>38</v>
      </c>
      <c r="C198" t="s">
        <v>20</v>
      </c>
      <c r="D198">
        <v>3828</v>
      </c>
      <c r="E198">
        <v>148</v>
      </c>
      <c r="F198">
        <v>253</v>
      </c>
      <c r="G198">
        <v>30624</v>
      </c>
      <c r="H198">
        <v>235</v>
      </c>
      <c r="I198" t="s">
        <v>33</v>
      </c>
      <c r="J198">
        <f t="shared" si="6"/>
        <v>4229</v>
      </c>
      <c r="K198">
        <f t="shared" si="7"/>
        <v>7.24142823362497</v>
      </c>
    </row>
    <row r="199" spans="1:11">
      <c r="A199" t="s">
        <v>367</v>
      </c>
      <c r="B199" t="s">
        <v>38</v>
      </c>
      <c r="C199" t="s">
        <v>44</v>
      </c>
      <c r="D199">
        <v>2581</v>
      </c>
      <c r="E199">
        <v>517</v>
      </c>
      <c r="F199">
        <v>117</v>
      </c>
      <c r="G199">
        <v>23229</v>
      </c>
      <c r="H199">
        <v>70</v>
      </c>
      <c r="I199" t="s">
        <v>51</v>
      </c>
      <c r="J199">
        <f t="shared" si="6"/>
        <v>3215</v>
      </c>
      <c r="K199">
        <f t="shared" si="7"/>
        <v>7.2251944012441678</v>
      </c>
    </row>
    <row r="200" spans="1:11">
      <c r="A200" t="s">
        <v>91</v>
      </c>
      <c r="B200" t="s">
        <v>14</v>
      </c>
      <c r="C200" t="s">
        <v>44</v>
      </c>
      <c r="D200">
        <v>4750</v>
      </c>
      <c r="E200">
        <v>151</v>
      </c>
      <c r="F200">
        <v>415</v>
      </c>
      <c r="G200">
        <v>38000</v>
      </c>
      <c r="H200">
        <v>299</v>
      </c>
      <c r="I200" t="s">
        <v>33</v>
      </c>
      <c r="J200">
        <f t="shared" si="6"/>
        <v>5316</v>
      </c>
      <c r="K200">
        <f t="shared" si="7"/>
        <v>7.1482317531978934</v>
      </c>
    </row>
    <row r="201" spans="1:11">
      <c r="A201" t="s">
        <v>340</v>
      </c>
      <c r="B201" t="s">
        <v>30</v>
      </c>
      <c r="C201" t="s">
        <v>20</v>
      </c>
      <c r="D201">
        <v>4941</v>
      </c>
      <c r="E201">
        <v>414</v>
      </c>
      <c r="F201">
        <v>266</v>
      </c>
      <c r="G201">
        <v>39528</v>
      </c>
      <c r="H201">
        <v>217</v>
      </c>
      <c r="I201" t="s">
        <v>27</v>
      </c>
      <c r="J201">
        <f t="shared" si="6"/>
        <v>5621</v>
      </c>
      <c r="K201">
        <f t="shared" si="7"/>
        <v>7.0322006760362923</v>
      </c>
    </row>
    <row r="202" spans="1:11">
      <c r="A202" t="s">
        <v>185</v>
      </c>
      <c r="B202" t="s">
        <v>14</v>
      </c>
      <c r="C202" t="s">
        <v>39</v>
      </c>
      <c r="D202">
        <v>3811</v>
      </c>
      <c r="E202">
        <v>866</v>
      </c>
      <c r="F202">
        <v>216</v>
      </c>
      <c r="G202">
        <v>34299</v>
      </c>
      <c r="H202">
        <v>233</v>
      </c>
      <c r="I202" t="s">
        <v>27</v>
      </c>
      <c r="J202">
        <f t="shared" si="6"/>
        <v>4893</v>
      </c>
      <c r="K202">
        <f t="shared" si="7"/>
        <v>7.0098099325567134</v>
      </c>
    </row>
    <row r="203" spans="1:11">
      <c r="A203" t="s">
        <v>118</v>
      </c>
      <c r="B203" t="s">
        <v>14</v>
      </c>
      <c r="C203" t="s">
        <v>59</v>
      </c>
      <c r="D203">
        <v>4886</v>
      </c>
      <c r="E203">
        <v>983</v>
      </c>
      <c r="F203">
        <v>409</v>
      </c>
      <c r="G203">
        <v>43974</v>
      </c>
      <c r="H203">
        <v>65</v>
      </c>
      <c r="I203" t="s">
        <v>27</v>
      </c>
      <c r="J203">
        <f t="shared" si="6"/>
        <v>6278</v>
      </c>
      <c r="K203">
        <f t="shared" si="7"/>
        <v>7.0044600191143678</v>
      </c>
    </row>
    <row r="204" spans="1:11">
      <c r="A204" t="s">
        <v>270</v>
      </c>
      <c r="B204" t="s">
        <v>14</v>
      </c>
      <c r="C204" t="s">
        <v>39</v>
      </c>
      <c r="D204">
        <v>4274</v>
      </c>
      <c r="E204">
        <v>340</v>
      </c>
      <c r="F204">
        <v>281</v>
      </c>
      <c r="G204">
        <v>34192</v>
      </c>
      <c r="H204">
        <v>129</v>
      </c>
      <c r="I204" t="s">
        <v>268</v>
      </c>
      <c r="J204">
        <f t="shared" si="6"/>
        <v>4895</v>
      </c>
      <c r="K204">
        <f t="shared" si="7"/>
        <v>6.9850868232890706</v>
      </c>
    </row>
    <row r="205" spans="1:11">
      <c r="A205" t="s">
        <v>228</v>
      </c>
      <c r="B205" t="s">
        <v>14</v>
      </c>
      <c r="C205" t="s">
        <v>15</v>
      </c>
      <c r="D205">
        <v>1076</v>
      </c>
      <c r="E205">
        <v>313</v>
      </c>
      <c r="F205">
        <v>306</v>
      </c>
      <c r="G205">
        <v>11836</v>
      </c>
      <c r="H205">
        <v>104</v>
      </c>
      <c r="I205" t="s">
        <v>51</v>
      </c>
      <c r="J205">
        <f t="shared" si="6"/>
        <v>1695</v>
      </c>
      <c r="K205">
        <f t="shared" si="7"/>
        <v>6.9828908554572271</v>
      </c>
    </row>
    <row r="206" spans="1:11">
      <c r="A206" t="s">
        <v>235</v>
      </c>
      <c r="B206" t="s">
        <v>14</v>
      </c>
      <c r="C206" t="s">
        <v>59</v>
      </c>
      <c r="D206">
        <v>1330</v>
      </c>
      <c r="E206">
        <v>925</v>
      </c>
      <c r="F206">
        <v>35</v>
      </c>
      <c r="G206">
        <v>15960</v>
      </c>
      <c r="H206">
        <v>229</v>
      </c>
      <c r="I206" t="s">
        <v>51</v>
      </c>
      <c r="J206">
        <f t="shared" si="6"/>
        <v>2290</v>
      </c>
      <c r="K206">
        <f t="shared" si="7"/>
        <v>6.9694323144104802</v>
      </c>
    </row>
    <row r="207" spans="1:11">
      <c r="A207" t="s">
        <v>254</v>
      </c>
      <c r="B207" t="s">
        <v>30</v>
      </c>
      <c r="C207" t="s">
        <v>59</v>
      </c>
      <c r="D207">
        <v>1176</v>
      </c>
      <c r="E207">
        <v>464</v>
      </c>
      <c r="F207">
        <v>394</v>
      </c>
      <c r="G207">
        <v>14112</v>
      </c>
      <c r="H207">
        <v>272</v>
      </c>
      <c r="I207" t="s">
        <v>33</v>
      </c>
      <c r="J207">
        <f t="shared" si="6"/>
        <v>2034</v>
      </c>
      <c r="K207">
        <f t="shared" si="7"/>
        <v>6.9380530973451329</v>
      </c>
    </row>
    <row r="208" spans="1:11">
      <c r="A208" t="s">
        <v>56</v>
      </c>
      <c r="B208" t="s">
        <v>38</v>
      </c>
      <c r="C208" t="s">
        <v>31</v>
      </c>
      <c r="D208">
        <v>4242</v>
      </c>
      <c r="E208">
        <v>555</v>
      </c>
      <c r="F208">
        <v>131</v>
      </c>
      <c r="G208">
        <v>33936</v>
      </c>
      <c r="H208">
        <v>265</v>
      </c>
      <c r="I208" t="s">
        <v>51</v>
      </c>
      <c r="J208">
        <f t="shared" si="6"/>
        <v>4928</v>
      </c>
      <c r="K208">
        <f t="shared" si="7"/>
        <v>6.8863636363636367</v>
      </c>
    </row>
    <row r="209" spans="1:11">
      <c r="A209" t="s">
        <v>29</v>
      </c>
      <c r="B209" t="s">
        <v>30</v>
      </c>
      <c r="C209" t="s">
        <v>31</v>
      </c>
      <c r="D209">
        <v>2404</v>
      </c>
      <c r="E209">
        <v>363</v>
      </c>
      <c r="F209">
        <v>138</v>
      </c>
      <c r="G209">
        <v>19232</v>
      </c>
      <c r="H209">
        <v>128</v>
      </c>
      <c r="I209" t="s">
        <v>33</v>
      </c>
      <c r="J209">
        <f t="shared" si="6"/>
        <v>2905</v>
      </c>
      <c r="K209">
        <f t="shared" si="7"/>
        <v>6.6203098106712561</v>
      </c>
    </row>
    <row r="210" spans="1:11">
      <c r="A210" t="s">
        <v>209</v>
      </c>
      <c r="B210" t="s">
        <v>30</v>
      </c>
      <c r="C210" t="s">
        <v>15</v>
      </c>
      <c r="D210">
        <v>3256</v>
      </c>
      <c r="E210">
        <v>459</v>
      </c>
      <c r="F210">
        <v>266</v>
      </c>
      <c r="G210">
        <v>26048</v>
      </c>
      <c r="H210">
        <v>143</v>
      </c>
      <c r="I210" t="s">
        <v>27</v>
      </c>
      <c r="J210">
        <f t="shared" si="6"/>
        <v>3981</v>
      </c>
      <c r="K210">
        <f t="shared" si="7"/>
        <v>6.5430796282341124</v>
      </c>
    </row>
    <row r="211" spans="1:11">
      <c r="A211" t="s">
        <v>330</v>
      </c>
      <c r="B211" t="s">
        <v>25</v>
      </c>
      <c r="C211" t="s">
        <v>44</v>
      </c>
      <c r="D211">
        <v>1206</v>
      </c>
      <c r="E211">
        <v>238</v>
      </c>
      <c r="F211">
        <v>36</v>
      </c>
      <c r="G211">
        <v>9648</v>
      </c>
      <c r="H211">
        <v>237</v>
      </c>
      <c r="I211" t="s">
        <v>27</v>
      </c>
      <c r="J211">
        <f t="shared" si="6"/>
        <v>1480</v>
      </c>
      <c r="K211">
        <f t="shared" si="7"/>
        <v>6.5189189189189189</v>
      </c>
    </row>
    <row r="212" spans="1:11">
      <c r="A212" t="s">
        <v>226</v>
      </c>
      <c r="B212" t="s">
        <v>25</v>
      </c>
      <c r="C212" t="s">
        <v>20</v>
      </c>
      <c r="D212">
        <v>4934</v>
      </c>
      <c r="E212">
        <v>971</v>
      </c>
      <c r="F212">
        <v>156</v>
      </c>
      <c r="G212">
        <v>39472</v>
      </c>
      <c r="H212">
        <v>169</v>
      </c>
      <c r="I212" t="s">
        <v>72</v>
      </c>
      <c r="J212">
        <f t="shared" si="6"/>
        <v>6061</v>
      </c>
      <c r="K212">
        <f t="shared" si="7"/>
        <v>6.5124566903151297</v>
      </c>
    </row>
    <row r="213" spans="1:11">
      <c r="A213" t="s">
        <v>227</v>
      </c>
      <c r="B213" t="s">
        <v>14</v>
      </c>
      <c r="C213" t="s">
        <v>20</v>
      </c>
      <c r="D213">
        <v>3239</v>
      </c>
      <c r="E213">
        <v>43</v>
      </c>
      <c r="F213">
        <v>211</v>
      </c>
      <c r="G213">
        <v>22673</v>
      </c>
      <c r="H213">
        <v>230</v>
      </c>
      <c r="I213" t="s">
        <v>27</v>
      </c>
      <c r="J213">
        <f t="shared" si="6"/>
        <v>3493</v>
      </c>
      <c r="K213">
        <f t="shared" si="7"/>
        <v>6.4909819639278554</v>
      </c>
    </row>
    <row r="214" spans="1:11">
      <c r="A214" t="s">
        <v>200</v>
      </c>
      <c r="B214" t="s">
        <v>38</v>
      </c>
      <c r="C214" t="s">
        <v>44</v>
      </c>
      <c r="D214">
        <v>2291</v>
      </c>
      <c r="E214">
        <v>78</v>
      </c>
      <c r="F214">
        <v>485</v>
      </c>
      <c r="G214">
        <v>18328</v>
      </c>
      <c r="H214">
        <v>10</v>
      </c>
      <c r="I214" t="s">
        <v>201</v>
      </c>
      <c r="J214">
        <f t="shared" si="6"/>
        <v>2854</v>
      </c>
      <c r="K214">
        <f t="shared" si="7"/>
        <v>6.4218640504555013</v>
      </c>
    </row>
    <row r="215" spans="1:11">
      <c r="A215" t="s">
        <v>107</v>
      </c>
      <c r="B215" t="s">
        <v>38</v>
      </c>
      <c r="C215" t="s">
        <v>44</v>
      </c>
      <c r="D215">
        <v>947</v>
      </c>
      <c r="E215">
        <v>338</v>
      </c>
      <c r="F215">
        <v>350</v>
      </c>
      <c r="G215">
        <v>10417</v>
      </c>
      <c r="H215">
        <v>34</v>
      </c>
      <c r="I215" t="s">
        <v>27</v>
      </c>
      <c r="J215">
        <f t="shared" si="6"/>
        <v>1635</v>
      </c>
      <c r="K215">
        <f t="shared" si="7"/>
        <v>6.3712538226299698</v>
      </c>
    </row>
    <row r="216" spans="1:11">
      <c r="A216" t="s">
        <v>318</v>
      </c>
      <c r="B216" t="s">
        <v>38</v>
      </c>
      <c r="C216" t="s">
        <v>39</v>
      </c>
      <c r="D216">
        <v>2089</v>
      </c>
      <c r="E216">
        <v>476</v>
      </c>
      <c r="F216">
        <v>69</v>
      </c>
      <c r="G216">
        <v>16712</v>
      </c>
      <c r="H216">
        <v>64</v>
      </c>
      <c r="I216" t="s">
        <v>51</v>
      </c>
      <c r="J216">
        <f t="shared" si="6"/>
        <v>2634</v>
      </c>
      <c r="K216">
        <f t="shared" si="7"/>
        <v>6.3447228549734245</v>
      </c>
    </row>
    <row r="217" spans="1:11">
      <c r="A217" t="s">
        <v>284</v>
      </c>
      <c r="B217" t="s">
        <v>38</v>
      </c>
      <c r="C217" t="s">
        <v>59</v>
      </c>
      <c r="D217">
        <v>4453</v>
      </c>
      <c r="E217">
        <v>111</v>
      </c>
      <c r="F217">
        <v>420</v>
      </c>
      <c r="G217">
        <v>31171</v>
      </c>
      <c r="H217">
        <v>23</v>
      </c>
      <c r="I217" t="s">
        <v>27</v>
      </c>
      <c r="J217">
        <f t="shared" si="6"/>
        <v>4984</v>
      </c>
      <c r="K217">
        <f t="shared" si="7"/>
        <v>6.2542134831460672</v>
      </c>
    </row>
    <row r="218" spans="1:11">
      <c r="A218" t="s">
        <v>198</v>
      </c>
      <c r="B218" t="s">
        <v>14</v>
      </c>
      <c r="C218" t="s">
        <v>44</v>
      </c>
      <c r="D218">
        <v>305</v>
      </c>
      <c r="E218">
        <v>187</v>
      </c>
      <c r="F218">
        <v>243</v>
      </c>
      <c r="G218">
        <v>4575</v>
      </c>
      <c r="H218">
        <v>234</v>
      </c>
      <c r="I218" t="s">
        <v>51</v>
      </c>
      <c r="J218">
        <f t="shared" si="6"/>
        <v>735</v>
      </c>
      <c r="K218">
        <f t="shared" si="7"/>
        <v>6.2244897959183669</v>
      </c>
    </row>
    <row r="219" spans="1:11">
      <c r="A219" t="s">
        <v>142</v>
      </c>
      <c r="B219" t="s">
        <v>25</v>
      </c>
      <c r="C219" t="s">
        <v>59</v>
      </c>
      <c r="D219">
        <v>1094</v>
      </c>
      <c r="E219">
        <v>472</v>
      </c>
      <c r="F219">
        <v>21</v>
      </c>
      <c r="G219">
        <v>9846</v>
      </c>
      <c r="H219">
        <v>112</v>
      </c>
      <c r="I219" t="s">
        <v>33</v>
      </c>
      <c r="J219">
        <f t="shared" si="6"/>
        <v>1587</v>
      </c>
      <c r="K219">
        <f t="shared" si="7"/>
        <v>6.2041587901701325</v>
      </c>
    </row>
    <row r="220" spans="1:11">
      <c r="A220" t="s">
        <v>116</v>
      </c>
      <c r="B220" t="s">
        <v>30</v>
      </c>
      <c r="C220" t="s">
        <v>59</v>
      </c>
      <c r="D220">
        <v>904</v>
      </c>
      <c r="E220">
        <v>973</v>
      </c>
      <c r="F220">
        <v>63</v>
      </c>
      <c r="G220">
        <v>11752</v>
      </c>
      <c r="H220">
        <v>84</v>
      </c>
      <c r="I220" t="s">
        <v>117</v>
      </c>
      <c r="J220">
        <f t="shared" si="6"/>
        <v>1940</v>
      </c>
      <c r="K220">
        <f t="shared" si="7"/>
        <v>6.0577319587628864</v>
      </c>
    </row>
    <row r="221" spans="1:11">
      <c r="A221" t="s">
        <v>110</v>
      </c>
      <c r="B221" t="s">
        <v>25</v>
      </c>
      <c r="C221" t="s">
        <v>39</v>
      </c>
      <c r="D221">
        <v>1686</v>
      </c>
      <c r="E221">
        <v>904</v>
      </c>
      <c r="F221">
        <v>472</v>
      </c>
      <c r="G221">
        <v>18546</v>
      </c>
      <c r="H221">
        <v>52</v>
      </c>
      <c r="I221" t="s">
        <v>51</v>
      </c>
      <c r="J221">
        <f t="shared" si="6"/>
        <v>3062</v>
      </c>
      <c r="K221">
        <f t="shared" si="7"/>
        <v>6.0568256041802746</v>
      </c>
    </row>
    <row r="222" spans="1:11">
      <c r="A222" t="s">
        <v>363</v>
      </c>
      <c r="B222" t="s">
        <v>14</v>
      </c>
      <c r="C222" t="s">
        <v>44</v>
      </c>
      <c r="D222">
        <v>1952</v>
      </c>
      <c r="E222">
        <v>344</v>
      </c>
      <c r="F222">
        <v>287</v>
      </c>
      <c r="G222">
        <v>15616</v>
      </c>
      <c r="H222">
        <v>235</v>
      </c>
      <c r="I222" t="s">
        <v>141</v>
      </c>
      <c r="J222">
        <f t="shared" si="6"/>
        <v>2583</v>
      </c>
      <c r="K222">
        <f t="shared" si="7"/>
        <v>6.0456833139759967</v>
      </c>
    </row>
    <row r="223" spans="1:11">
      <c r="A223" t="s">
        <v>100</v>
      </c>
      <c r="B223" t="s">
        <v>14</v>
      </c>
      <c r="C223" t="s">
        <v>39</v>
      </c>
      <c r="D223">
        <v>2704</v>
      </c>
      <c r="E223">
        <v>752</v>
      </c>
      <c r="F223">
        <v>153</v>
      </c>
      <c r="G223">
        <v>21632</v>
      </c>
      <c r="H223">
        <v>127</v>
      </c>
      <c r="I223" t="s">
        <v>51</v>
      </c>
      <c r="J223">
        <f t="shared" si="6"/>
        <v>3609</v>
      </c>
      <c r="K223">
        <f t="shared" si="7"/>
        <v>5.9939041285674701</v>
      </c>
    </row>
    <row r="224" spans="1:11">
      <c r="A224" t="s">
        <v>169</v>
      </c>
      <c r="B224" t="s">
        <v>14</v>
      </c>
      <c r="C224" t="s">
        <v>31</v>
      </c>
      <c r="D224">
        <v>3649</v>
      </c>
      <c r="E224">
        <v>215</v>
      </c>
      <c r="F224">
        <v>413</v>
      </c>
      <c r="G224">
        <v>25543</v>
      </c>
      <c r="H224">
        <v>167</v>
      </c>
      <c r="I224" t="s">
        <v>51</v>
      </c>
      <c r="J224">
        <f t="shared" si="6"/>
        <v>4277</v>
      </c>
      <c r="K224">
        <f t="shared" si="7"/>
        <v>5.9721767594108019</v>
      </c>
    </row>
    <row r="225" spans="1:11">
      <c r="A225" t="s">
        <v>343</v>
      </c>
      <c r="B225" t="s">
        <v>38</v>
      </c>
      <c r="C225" t="s">
        <v>15</v>
      </c>
      <c r="D225">
        <v>1741</v>
      </c>
      <c r="E225">
        <v>831</v>
      </c>
      <c r="F225">
        <v>345</v>
      </c>
      <c r="G225">
        <v>17410</v>
      </c>
      <c r="H225">
        <v>58</v>
      </c>
      <c r="I225" t="s">
        <v>33</v>
      </c>
      <c r="J225">
        <f t="shared" si="6"/>
        <v>2917</v>
      </c>
      <c r="K225">
        <f t="shared" si="7"/>
        <v>5.968460747343161</v>
      </c>
    </row>
    <row r="226" spans="1:11">
      <c r="A226" t="s">
        <v>176</v>
      </c>
      <c r="B226" t="s">
        <v>25</v>
      </c>
      <c r="C226" t="s">
        <v>15</v>
      </c>
      <c r="D226">
        <v>3704</v>
      </c>
      <c r="E226">
        <v>186</v>
      </c>
      <c r="F226">
        <v>458</v>
      </c>
      <c r="G226">
        <v>25928</v>
      </c>
      <c r="H226">
        <v>131</v>
      </c>
      <c r="I226" t="s">
        <v>27</v>
      </c>
      <c r="J226">
        <f t="shared" si="6"/>
        <v>4348</v>
      </c>
      <c r="K226">
        <f t="shared" si="7"/>
        <v>5.9632014719411224</v>
      </c>
    </row>
    <row r="227" spans="1:11">
      <c r="A227" t="s">
        <v>154</v>
      </c>
      <c r="B227" t="s">
        <v>30</v>
      </c>
      <c r="C227" t="s">
        <v>44</v>
      </c>
      <c r="D227">
        <v>2647</v>
      </c>
      <c r="E227">
        <v>304</v>
      </c>
      <c r="F227">
        <v>170</v>
      </c>
      <c r="G227">
        <v>18529</v>
      </c>
      <c r="H227">
        <v>46</v>
      </c>
      <c r="I227" t="s">
        <v>51</v>
      </c>
      <c r="J227">
        <f t="shared" si="6"/>
        <v>3121</v>
      </c>
      <c r="K227">
        <f t="shared" si="7"/>
        <v>5.9368792053828905</v>
      </c>
    </row>
    <row r="228" spans="1:11">
      <c r="A228" t="s">
        <v>149</v>
      </c>
      <c r="B228" t="s">
        <v>14</v>
      </c>
      <c r="C228" t="s">
        <v>44</v>
      </c>
      <c r="D228">
        <v>2214</v>
      </c>
      <c r="E228">
        <v>249</v>
      </c>
      <c r="F228">
        <v>152</v>
      </c>
      <c r="G228">
        <v>15498</v>
      </c>
      <c r="H228">
        <v>180</v>
      </c>
      <c r="I228" t="s">
        <v>33</v>
      </c>
      <c r="J228">
        <f t="shared" si="6"/>
        <v>2615</v>
      </c>
      <c r="K228">
        <f t="shared" si="7"/>
        <v>5.9265774378585085</v>
      </c>
    </row>
    <row r="229" spans="1:11">
      <c r="A229" t="s">
        <v>98</v>
      </c>
      <c r="B229" t="s">
        <v>14</v>
      </c>
      <c r="C229" t="s">
        <v>59</v>
      </c>
      <c r="D229">
        <v>1108</v>
      </c>
      <c r="E229">
        <v>177</v>
      </c>
      <c r="F229">
        <v>212</v>
      </c>
      <c r="G229">
        <v>8864</v>
      </c>
      <c r="H229">
        <v>97</v>
      </c>
      <c r="I229" t="s">
        <v>27</v>
      </c>
      <c r="J229">
        <f t="shared" si="6"/>
        <v>1497</v>
      </c>
      <c r="K229">
        <f t="shared" si="7"/>
        <v>5.9211756847027388</v>
      </c>
    </row>
    <row r="230" spans="1:11">
      <c r="A230" t="s">
        <v>78</v>
      </c>
      <c r="B230" t="s">
        <v>30</v>
      </c>
      <c r="C230" t="s">
        <v>59</v>
      </c>
      <c r="D230">
        <v>432</v>
      </c>
      <c r="E230">
        <v>624</v>
      </c>
      <c r="F230">
        <v>123</v>
      </c>
      <c r="G230">
        <v>6912</v>
      </c>
      <c r="H230">
        <v>79</v>
      </c>
      <c r="I230" t="s">
        <v>51</v>
      </c>
      <c r="J230">
        <f t="shared" si="6"/>
        <v>1179</v>
      </c>
      <c r="K230">
        <f t="shared" si="7"/>
        <v>5.8625954198473282</v>
      </c>
    </row>
    <row r="231" spans="1:11">
      <c r="A231" t="s">
        <v>189</v>
      </c>
      <c r="B231" t="s">
        <v>14</v>
      </c>
      <c r="C231" t="s">
        <v>20</v>
      </c>
      <c r="D231">
        <v>2147</v>
      </c>
      <c r="E231">
        <v>430</v>
      </c>
      <c r="F231">
        <v>393</v>
      </c>
      <c r="G231">
        <v>17176</v>
      </c>
      <c r="H231">
        <v>170</v>
      </c>
      <c r="I231" t="s">
        <v>27</v>
      </c>
      <c r="J231">
        <f t="shared" si="6"/>
        <v>2970</v>
      </c>
      <c r="K231">
        <f t="shared" si="7"/>
        <v>5.7831649831649834</v>
      </c>
    </row>
    <row r="232" spans="1:11">
      <c r="A232" t="s">
        <v>172</v>
      </c>
      <c r="B232" t="s">
        <v>14</v>
      </c>
      <c r="C232" t="s">
        <v>31</v>
      </c>
      <c r="D232">
        <v>1957</v>
      </c>
      <c r="E232">
        <v>877</v>
      </c>
      <c r="F232">
        <v>238</v>
      </c>
      <c r="G232">
        <v>17613</v>
      </c>
      <c r="H232">
        <v>297</v>
      </c>
      <c r="I232" t="s">
        <v>51</v>
      </c>
      <c r="J232">
        <f t="shared" si="6"/>
        <v>3072</v>
      </c>
      <c r="K232">
        <f t="shared" si="7"/>
        <v>5.7333984375</v>
      </c>
    </row>
    <row r="233" spans="1:11">
      <c r="A233" t="s">
        <v>306</v>
      </c>
      <c r="B233" t="s">
        <v>38</v>
      </c>
      <c r="C233" t="s">
        <v>31</v>
      </c>
      <c r="D233">
        <v>4321</v>
      </c>
      <c r="E233">
        <v>874</v>
      </c>
      <c r="F233">
        <v>172</v>
      </c>
      <c r="G233">
        <v>30247</v>
      </c>
      <c r="H233">
        <v>122</v>
      </c>
      <c r="I233" t="s">
        <v>27</v>
      </c>
      <c r="J233">
        <f t="shared" si="6"/>
        <v>5367</v>
      </c>
      <c r="K233">
        <f t="shared" si="7"/>
        <v>5.635736910750885</v>
      </c>
    </row>
    <row r="234" spans="1:11">
      <c r="A234" t="s">
        <v>88</v>
      </c>
      <c r="B234" t="s">
        <v>38</v>
      </c>
      <c r="C234" t="s">
        <v>39</v>
      </c>
      <c r="D234">
        <v>3024</v>
      </c>
      <c r="E234">
        <v>925</v>
      </c>
      <c r="F234">
        <v>350</v>
      </c>
      <c r="G234">
        <v>24192</v>
      </c>
      <c r="H234">
        <v>36</v>
      </c>
      <c r="I234" t="s">
        <v>33</v>
      </c>
      <c r="J234">
        <f t="shared" si="6"/>
        <v>4299</v>
      </c>
      <c r="K234">
        <f t="shared" si="7"/>
        <v>5.6273551988834614</v>
      </c>
    </row>
    <row r="235" spans="1:11">
      <c r="A235" t="s">
        <v>215</v>
      </c>
      <c r="B235" t="s">
        <v>14</v>
      </c>
      <c r="C235" t="s">
        <v>59</v>
      </c>
      <c r="D235">
        <v>754</v>
      </c>
      <c r="E235">
        <v>197</v>
      </c>
      <c r="F235">
        <v>257</v>
      </c>
      <c r="G235">
        <v>6786</v>
      </c>
      <c r="H235">
        <v>212</v>
      </c>
      <c r="I235" t="s">
        <v>27</v>
      </c>
      <c r="J235">
        <f t="shared" si="6"/>
        <v>1208</v>
      </c>
      <c r="K235">
        <f t="shared" si="7"/>
        <v>5.6175496688741724</v>
      </c>
    </row>
    <row r="236" spans="1:11">
      <c r="A236" t="s">
        <v>37</v>
      </c>
      <c r="B236" t="s">
        <v>38</v>
      </c>
      <c r="C236" t="s">
        <v>39</v>
      </c>
      <c r="D236">
        <v>2945</v>
      </c>
      <c r="E236">
        <v>930</v>
      </c>
      <c r="F236">
        <v>355</v>
      </c>
      <c r="G236">
        <v>23560</v>
      </c>
      <c r="H236">
        <v>256</v>
      </c>
      <c r="I236" t="s">
        <v>27</v>
      </c>
      <c r="J236">
        <f t="shared" si="6"/>
        <v>4230</v>
      </c>
      <c r="K236">
        <f t="shared" si="7"/>
        <v>5.5697399527186757</v>
      </c>
    </row>
    <row r="237" spans="1:11">
      <c r="A237" t="s">
        <v>362</v>
      </c>
      <c r="B237" t="s">
        <v>38</v>
      </c>
      <c r="C237" t="s">
        <v>39</v>
      </c>
      <c r="D237">
        <v>4731</v>
      </c>
      <c r="E237">
        <v>173</v>
      </c>
      <c r="F237">
        <v>276</v>
      </c>
      <c r="G237">
        <v>28386</v>
      </c>
      <c r="H237">
        <v>89</v>
      </c>
      <c r="I237" t="s">
        <v>33</v>
      </c>
      <c r="J237">
        <f t="shared" si="6"/>
        <v>5180</v>
      </c>
      <c r="K237">
        <f t="shared" si="7"/>
        <v>5.4799227799227799</v>
      </c>
    </row>
    <row r="238" spans="1:11">
      <c r="A238" t="s">
        <v>93</v>
      </c>
      <c r="B238" t="s">
        <v>30</v>
      </c>
      <c r="C238" t="s">
        <v>15</v>
      </c>
      <c r="D238">
        <v>456</v>
      </c>
      <c r="E238">
        <v>629</v>
      </c>
      <c r="F238">
        <v>428</v>
      </c>
      <c r="G238">
        <v>8208</v>
      </c>
      <c r="H238">
        <v>205</v>
      </c>
      <c r="I238" t="s">
        <v>51</v>
      </c>
      <c r="J238">
        <f t="shared" si="6"/>
        <v>1513</v>
      </c>
      <c r="K238">
        <f t="shared" si="7"/>
        <v>5.4249834765366822</v>
      </c>
    </row>
    <row r="239" spans="1:11">
      <c r="A239" t="s">
        <v>307</v>
      </c>
      <c r="B239" t="s">
        <v>38</v>
      </c>
      <c r="C239" t="s">
        <v>15</v>
      </c>
      <c r="D239">
        <v>4767</v>
      </c>
      <c r="E239">
        <v>190</v>
      </c>
      <c r="F239">
        <v>340</v>
      </c>
      <c r="G239">
        <v>28602</v>
      </c>
      <c r="H239">
        <v>210</v>
      </c>
      <c r="I239" t="s">
        <v>33</v>
      </c>
      <c r="J239">
        <f t="shared" si="6"/>
        <v>5297</v>
      </c>
      <c r="K239">
        <f t="shared" si="7"/>
        <v>5.3996601850103829</v>
      </c>
    </row>
    <row r="240" spans="1:11">
      <c r="A240" t="s">
        <v>274</v>
      </c>
      <c r="B240" t="s">
        <v>14</v>
      </c>
      <c r="C240" t="s">
        <v>39</v>
      </c>
      <c r="D240">
        <v>2120</v>
      </c>
      <c r="E240">
        <v>38</v>
      </c>
      <c r="F240">
        <v>212</v>
      </c>
      <c r="G240">
        <v>12720</v>
      </c>
      <c r="H240">
        <v>21</v>
      </c>
      <c r="I240" t="s">
        <v>51</v>
      </c>
      <c r="J240">
        <f t="shared" si="6"/>
        <v>2370</v>
      </c>
      <c r="K240">
        <f t="shared" si="7"/>
        <v>5.3670886075949369</v>
      </c>
    </row>
    <row r="241" spans="1:11">
      <c r="A241" t="s">
        <v>281</v>
      </c>
      <c r="B241" t="s">
        <v>38</v>
      </c>
      <c r="C241" t="s">
        <v>39</v>
      </c>
      <c r="D241">
        <v>1869</v>
      </c>
      <c r="E241">
        <v>453</v>
      </c>
      <c r="F241">
        <v>490</v>
      </c>
      <c r="G241">
        <v>14952</v>
      </c>
      <c r="H241">
        <v>275</v>
      </c>
      <c r="I241" t="s">
        <v>27</v>
      </c>
      <c r="J241">
        <f t="shared" si="6"/>
        <v>2812</v>
      </c>
      <c r="K241">
        <f t="shared" si="7"/>
        <v>5.317211948790896</v>
      </c>
    </row>
    <row r="242" spans="1:11">
      <c r="A242" t="s">
        <v>83</v>
      </c>
      <c r="B242" t="s">
        <v>14</v>
      </c>
      <c r="C242" t="s">
        <v>39</v>
      </c>
      <c r="D242">
        <v>2278</v>
      </c>
      <c r="E242">
        <v>10</v>
      </c>
      <c r="F242">
        <v>321</v>
      </c>
      <c r="G242">
        <v>13668</v>
      </c>
      <c r="H242">
        <v>275</v>
      </c>
      <c r="I242" t="s">
        <v>33</v>
      </c>
      <c r="J242">
        <f t="shared" si="6"/>
        <v>2609</v>
      </c>
      <c r="K242">
        <f t="shared" si="7"/>
        <v>5.2387888079724032</v>
      </c>
    </row>
    <row r="243" spans="1:11">
      <c r="A243" t="s">
        <v>145</v>
      </c>
      <c r="B243" t="s">
        <v>30</v>
      </c>
      <c r="C243" t="s">
        <v>44</v>
      </c>
      <c r="D243">
        <v>4177</v>
      </c>
      <c r="E243">
        <v>569</v>
      </c>
      <c r="F243">
        <v>55</v>
      </c>
      <c r="G243">
        <v>25062</v>
      </c>
      <c r="H243">
        <v>230</v>
      </c>
      <c r="I243" t="s">
        <v>51</v>
      </c>
      <c r="J243">
        <f t="shared" si="6"/>
        <v>4801</v>
      </c>
      <c r="K243">
        <f t="shared" si="7"/>
        <v>5.2201624661528845</v>
      </c>
    </row>
    <row r="244" spans="1:11">
      <c r="A244" t="s">
        <v>125</v>
      </c>
      <c r="B244" t="s">
        <v>30</v>
      </c>
      <c r="C244" t="s">
        <v>31</v>
      </c>
      <c r="D244">
        <v>2610</v>
      </c>
      <c r="E244">
        <v>126</v>
      </c>
      <c r="F244">
        <v>288</v>
      </c>
      <c r="G244">
        <v>15660</v>
      </c>
      <c r="H244">
        <v>73</v>
      </c>
      <c r="I244" t="s">
        <v>33</v>
      </c>
      <c r="J244">
        <f t="shared" si="6"/>
        <v>3024</v>
      </c>
      <c r="K244">
        <f t="shared" si="7"/>
        <v>5.1785714285714288</v>
      </c>
    </row>
    <row r="245" spans="1:11">
      <c r="A245" t="s">
        <v>354</v>
      </c>
      <c r="B245" t="s">
        <v>25</v>
      </c>
      <c r="C245" t="s">
        <v>59</v>
      </c>
      <c r="D245">
        <v>3389</v>
      </c>
      <c r="E245">
        <v>344</v>
      </c>
      <c r="F245">
        <v>229</v>
      </c>
      <c r="G245">
        <v>20334</v>
      </c>
      <c r="H245">
        <v>228</v>
      </c>
      <c r="I245" t="s">
        <v>51</v>
      </c>
      <c r="J245">
        <f t="shared" si="6"/>
        <v>3962</v>
      </c>
      <c r="K245">
        <f t="shared" si="7"/>
        <v>5.1322564361433622</v>
      </c>
    </row>
    <row r="246" spans="1:11">
      <c r="A246" t="s">
        <v>214</v>
      </c>
      <c r="B246" t="s">
        <v>38</v>
      </c>
      <c r="C246" t="s">
        <v>44</v>
      </c>
      <c r="D246">
        <v>4804</v>
      </c>
      <c r="E246">
        <v>550</v>
      </c>
      <c r="F246">
        <v>270</v>
      </c>
      <c r="G246">
        <v>28824</v>
      </c>
      <c r="H246">
        <v>47</v>
      </c>
      <c r="I246" t="s">
        <v>33</v>
      </c>
      <c r="J246">
        <f t="shared" si="6"/>
        <v>5624</v>
      </c>
      <c r="K246">
        <f t="shared" si="7"/>
        <v>5.1251778093883358</v>
      </c>
    </row>
    <row r="247" spans="1:11">
      <c r="A247" t="s">
        <v>260</v>
      </c>
      <c r="B247" t="s">
        <v>14</v>
      </c>
      <c r="C247" t="s">
        <v>44</v>
      </c>
      <c r="D247">
        <v>1048</v>
      </c>
      <c r="E247">
        <v>374</v>
      </c>
      <c r="F247">
        <v>450</v>
      </c>
      <c r="G247">
        <v>9432</v>
      </c>
      <c r="H247">
        <v>158</v>
      </c>
      <c r="I247" t="s">
        <v>27</v>
      </c>
      <c r="J247">
        <f t="shared" si="6"/>
        <v>1872</v>
      </c>
      <c r="K247">
        <f t="shared" si="7"/>
        <v>5.0384615384615383</v>
      </c>
    </row>
    <row r="248" spans="1:11">
      <c r="A248" t="s">
        <v>210</v>
      </c>
      <c r="B248" t="s">
        <v>30</v>
      </c>
      <c r="C248" t="s">
        <v>59</v>
      </c>
      <c r="D248">
        <v>4133</v>
      </c>
      <c r="E248">
        <v>466</v>
      </c>
      <c r="F248">
        <v>327</v>
      </c>
      <c r="G248">
        <v>24798</v>
      </c>
      <c r="H248">
        <v>176</v>
      </c>
      <c r="I248" t="s">
        <v>33</v>
      </c>
      <c r="J248">
        <f t="shared" si="6"/>
        <v>4926</v>
      </c>
      <c r="K248">
        <f t="shared" si="7"/>
        <v>5.0341047503045067</v>
      </c>
    </row>
    <row r="249" spans="1:11">
      <c r="A249" t="s">
        <v>344</v>
      </c>
      <c r="B249" t="s">
        <v>14</v>
      </c>
      <c r="C249" t="s">
        <v>39</v>
      </c>
      <c r="D249">
        <v>1556</v>
      </c>
      <c r="E249">
        <v>195</v>
      </c>
      <c r="F249">
        <v>131</v>
      </c>
      <c r="G249">
        <v>9336</v>
      </c>
      <c r="H249">
        <v>137</v>
      </c>
      <c r="I249" t="s">
        <v>27</v>
      </c>
      <c r="J249">
        <f t="shared" si="6"/>
        <v>1882</v>
      </c>
      <c r="K249">
        <f t="shared" si="7"/>
        <v>4.9606801275239105</v>
      </c>
    </row>
    <row r="250" spans="1:11">
      <c r="A250" t="s">
        <v>325</v>
      </c>
      <c r="B250" t="s">
        <v>30</v>
      </c>
      <c r="C250" t="s">
        <v>31</v>
      </c>
      <c r="D250">
        <v>3601</v>
      </c>
      <c r="E250">
        <v>695</v>
      </c>
      <c r="F250">
        <v>75</v>
      </c>
      <c r="G250">
        <v>21606</v>
      </c>
      <c r="H250">
        <v>172</v>
      </c>
      <c r="I250" t="s">
        <v>33</v>
      </c>
      <c r="J250">
        <f t="shared" si="6"/>
        <v>4371</v>
      </c>
      <c r="K250">
        <f t="shared" si="7"/>
        <v>4.9430336307481122</v>
      </c>
    </row>
    <row r="251" spans="1:11">
      <c r="A251" t="s">
        <v>196</v>
      </c>
      <c r="B251" t="s">
        <v>30</v>
      </c>
      <c r="C251" t="s">
        <v>20</v>
      </c>
      <c r="D251">
        <v>3134</v>
      </c>
      <c r="E251">
        <v>888</v>
      </c>
      <c r="F251">
        <v>444</v>
      </c>
      <c r="G251">
        <v>21938</v>
      </c>
      <c r="H251">
        <v>130</v>
      </c>
      <c r="I251" t="s">
        <v>33</v>
      </c>
      <c r="J251">
        <f t="shared" si="6"/>
        <v>4466</v>
      </c>
      <c r="K251">
        <f t="shared" si="7"/>
        <v>4.9122257053291536</v>
      </c>
    </row>
    <row r="252" spans="1:11">
      <c r="A252" t="s">
        <v>134</v>
      </c>
      <c r="B252" t="s">
        <v>38</v>
      </c>
      <c r="C252" t="s">
        <v>31</v>
      </c>
      <c r="D252">
        <v>1249</v>
      </c>
      <c r="E252">
        <v>116</v>
      </c>
      <c r="F252">
        <v>420</v>
      </c>
      <c r="G252">
        <v>8743</v>
      </c>
      <c r="H252">
        <v>63</v>
      </c>
      <c r="I252" t="s">
        <v>27</v>
      </c>
      <c r="J252">
        <f t="shared" si="6"/>
        <v>1785</v>
      </c>
      <c r="K252">
        <f t="shared" si="7"/>
        <v>4.8980392156862749</v>
      </c>
    </row>
    <row r="253" spans="1:11">
      <c r="A253" t="s">
        <v>339</v>
      </c>
      <c r="B253" t="s">
        <v>30</v>
      </c>
      <c r="C253" t="s">
        <v>59</v>
      </c>
      <c r="D253">
        <v>3575</v>
      </c>
      <c r="E253">
        <v>749</v>
      </c>
      <c r="F253">
        <v>111</v>
      </c>
      <c r="G253">
        <v>21450</v>
      </c>
      <c r="H253">
        <v>195</v>
      </c>
      <c r="I253" t="s">
        <v>33</v>
      </c>
      <c r="J253">
        <f t="shared" si="6"/>
        <v>4435</v>
      </c>
      <c r="K253">
        <f t="shared" si="7"/>
        <v>4.8365276211950397</v>
      </c>
    </row>
    <row r="254" spans="1:11">
      <c r="A254" t="s">
        <v>147</v>
      </c>
      <c r="B254" t="s">
        <v>14</v>
      </c>
      <c r="C254" t="s">
        <v>59</v>
      </c>
      <c r="D254">
        <v>1436</v>
      </c>
      <c r="E254">
        <v>765</v>
      </c>
      <c r="F254">
        <v>496</v>
      </c>
      <c r="G254">
        <v>12924</v>
      </c>
      <c r="H254">
        <v>197</v>
      </c>
      <c r="I254" t="s">
        <v>51</v>
      </c>
      <c r="J254">
        <f t="shared" si="6"/>
        <v>2697</v>
      </c>
      <c r="K254">
        <f t="shared" si="7"/>
        <v>4.7919911012235819</v>
      </c>
    </row>
    <row r="255" spans="1:11">
      <c r="A255" t="s">
        <v>197</v>
      </c>
      <c r="B255" t="s">
        <v>38</v>
      </c>
      <c r="C255" t="s">
        <v>59</v>
      </c>
      <c r="D255">
        <v>3008</v>
      </c>
      <c r="E255">
        <v>94</v>
      </c>
      <c r="F255">
        <v>37</v>
      </c>
      <c r="G255">
        <v>15040</v>
      </c>
      <c r="H255">
        <v>277</v>
      </c>
      <c r="I255" t="s">
        <v>51</v>
      </c>
      <c r="J255">
        <f t="shared" si="6"/>
        <v>3139</v>
      </c>
      <c r="K255">
        <f t="shared" si="7"/>
        <v>4.7913348200063712</v>
      </c>
    </row>
    <row r="256" spans="1:11">
      <c r="A256" t="s">
        <v>79</v>
      </c>
      <c r="B256" t="s">
        <v>30</v>
      </c>
      <c r="C256" t="s">
        <v>39</v>
      </c>
      <c r="D256">
        <v>2566</v>
      </c>
      <c r="E256">
        <v>118</v>
      </c>
      <c r="F256">
        <v>37</v>
      </c>
      <c r="G256">
        <v>12830</v>
      </c>
      <c r="H256">
        <v>221</v>
      </c>
      <c r="I256" t="s">
        <v>51</v>
      </c>
      <c r="J256">
        <f t="shared" si="6"/>
        <v>2721</v>
      </c>
      <c r="K256">
        <f t="shared" si="7"/>
        <v>4.7151782432929066</v>
      </c>
    </row>
    <row r="257" spans="1:11">
      <c r="A257" t="s">
        <v>207</v>
      </c>
      <c r="B257" t="s">
        <v>25</v>
      </c>
      <c r="C257" t="s">
        <v>15</v>
      </c>
      <c r="D257">
        <v>3065</v>
      </c>
      <c r="E257">
        <v>772</v>
      </c>
      <c r="F257">
        <v>142</v>
      </c>
      <c r="G257">
        <v>18390</v>
      </c>
      <c r="H257">
        <v>200</v>
      </c>
      <c r="I257" t="s">
        <v>208</v>
      </c>
      <c r="J257">
        <f t="shared" si="6"/>
        <v>3979</v>
      </c>
      <c r="K257">
        <f t="shared" si="7"/>
        <v>4.6217642623774822</v>
      </c>
    </row>
    <row r="258" spans="1:11">
      <c r="A258" t="s">
        <v>221</v>
      </c>
      <c r="B258" t="s">
        <v>38</v>
      </c>
      <c r="C258" t="s">
        <v>31</v>
      </c>
      <c r="D258">
        <v>2120</v>
      </c>
      <c r="E258">
        <v>158</v>
      </c>
      <c r="F258">
        <v>488</v>
      </c>
      <c r="G258">
        <v>12720</v>
      </c>
      <c r="H258">
        <v>17</v>
      </c>
      <c r="I258" t="s">
        <v>51</v>
      </c>
      <c r="J258">
        <f t="shared" ref="J258:J301" si="8">D258 + E258 + F258</f>
        <v>2766</v>
      </c>
      <c r="K258">
        <f t="shared" ref="K258:K321" si="9">G258/J258</f>
        <v>4.5986984815618221</v>
      </c>
    </row>
    <row r="259" spans="1:11">
      <c r="A259" t="s">
        <v>95</v>
      </c>
      <c r="B259" t="s">
        <v>30</v>
      </c>
      <c r="C259" t="s">
        <v>39</v>
      </c>
      <c r="D259">
        <v>2174</v>
      </c>
      <c r="E259">
        <v>658</v>
      </c>
      <c r="F259">
        <v>15</v>
      </c>
      <c r="G259">
        <v>13044</v>
      </c>
      <c r="H259">
        <v>137</v>
      </c>
      <c r="I259" t="s">
        <v>27</v>
      </c>
      <c r="J259">
        <f t="shared" si="8"/>
        <v>2847</v>
      </c>
      <c r="K259">
        <f t="shared" si="9"/>
        <v>4.5816649104320337</v>
      </c>
    </row>
    <row r="260" spans="1:11">
      <c r="A260" t="s">
        <v>94</v>
      </c>
      <c r="B260" t="s">
        <v>25</v>
      </c>
      <c r="C260" t="s">
        <v>15</v>
      </c>
      <c r="D260">
        <v>1543</v>
      </c>
      <c r="E260">
        <v>820</v>
      </c>
      <c r="F260">
        <v>333</v>
      </c>
      <c r="G260">
        <v>12344</v>
      </c>
      <c r="H260">
        <v>241</v>
      </c>
      <c r="I260" t="s">
        <v>33</v>
      </c>
      <c r="J260">
        <f t="shared" si="8"/>
        <v>2696</v>
      </c>
      <c r="K260">
        <f t="shared" si="9"/>
        <v>4.5786350148367951</v>
      </c>
    </row>
    <row r="261" spans="1:11">
      <c r="A261" t="s">
        <v>337</v>
      </c>
      <c r="B261" t="s">
        <v>30</v>
      </c>
      <c r="C261" t="s">
        <v>59</v>
      </c>
      <c r="D261">
        <v>4561</v>
      </c>
      <c r="E261">
        <v>51</v>
      </c>
      <c r="F261">
        <v>441</v>
      </c>
      <c r="G261">
        <v>22805</v>
      </c>
      <c r="H261">
        <v>45</v>
      </c>
      <c r="I261" t="s">
        <v>27</v>
      </c>
      <c r="J261">
        <f t="shared" si="8"/>
        <v>5053</v>
      </c>
      <c r="K261">
        <f t="shared" si="9"/>
        <v>4.5131604987136358</v>
      </c>
    </row>
    <row r="262" spans="1:11">
      <c r="A262" t="s">
        <v>225</v>
      </c>
      <c r="B262" t="s">
        <v>30</v>
      </c>
      <c r="C262" t="s">
        <v>44</v>
      </c>
      <c r="D262">
        <v>4501</v>
      </c>
      <c r="E262">
        <v>375</v>
      </c>
      <c r="F262">
        <v>323</v>
      </c>
      <c r="G262">
        <v>22505</v>
      </c>
      <c r="H262">
        <v>132</v>
      </c>
      <c r="I262" t="s">
        <v>27</v>
      </c>
      <c r="J262">
        <f t="shared" si="8"/>
        <v>5199</v>
      </c>
      <c r="K262">
        <f t="shared" si="9"/>
        <v>4.3287170609732639</v>
      </c>
    </row>
    <row r="263" spans="1:11">
      <c r="A263" t="s">
        <v>202</v>
      </c>
      <c r="B263" t="s">
        <v>14</v>
      </c>
      <c r="C263" t="s">
        <v>44</v>
      </c>
      <c r="D263">
        <v>3170</v>
      </c>
      <c r="E263">
        <v>857</v>
      </c>
      <c r="F263">
        <v>379</v>
      </c>
      <c r="G263">
        <v>19020</v>
      </c>
      <c r="H263">
        <v>240</v>
      </c>
      <c r="I263" t="s">
        <v>51</v>
      </c>
      <c r="J263">
        <f t="shared" si="8"/>
        <v>4406</v>
      </c>
      <c r="K263">
        <f t="shared" si="9"/>
        <v>4.3168406718111667</v>
      </c>
    </row>
    <row r="264" spans="1:11">
      <c r="A264" t="s">
        <v>180</v>
      </c>
      <c r="B264" t="s">
        <v>38</v>
      </c>
      <c r="C264" t="s">
        <v>31</v>
      </c>
      <c r="D264">
        <v>780</v>
      </c>
      <c r="E264">
        <v>928</v>
      </c>
      <c r="F264">
        <v>301</v>
      </c>
      <c r="G264">
        <v>8580</v>
      </c>
      <c r="H264">
        <v>91</v>
      </c>
      <c r="I264" t="s">
        <v>33</v>
      </c>
      <c r="J264">
        <f t="shared" si="8"/>
        <v>2009</v>
      </c>
      <c r="K264">
        <f t="shared" si="9"/>
        <v>4.2707814833250373</v>
      </c>
    </row>
    <row r="265" spans="1:11">
      <c r="A265" t="s">
        <v>183</v>
      </c>
      <c r="B265" t="s">
        <v>30</v>
      </c>
      <c r="C265" t="s">
        <v>31</v>
      </c>
      <c r="D265">
        <v>4363</v>
      </c>
      <c r="E265">
        <v>649</v>
      </c>
      <c r="F265">
        <v>140</v>
      </c>
      <c r="G265">
        <v>21815</v>
      </c>
      <c r="H265">
        <v>157</v>
      </c>
      <c r="I265" t="s">
        <v>33</v>
      </c>
      <c r="J265">
        <f t="shared" si="8"/>
        <v>5152</v>
      </c>
      <c r="K265">
        <f t="shared" si="9"/>
        <v>4.2342779503105588</v>
      </c>
    </row>
    <row r="266" spans="1:11">
      <c r="A266" t="s">
        <v>311</v>
      </c>
      <c r="B266" t="s">
        <v>38</v>
      </c>
      <c r="C266" t="s">
        <v>44</v>
      </c>
      <c r="D266">
        <v>400</v>
      </c>
      <c r="E266">
        <v>680</v>
      </c>
      <c r="F266">
        <v>434</v>
      </c>
      <c r="G266">
        <v>6400</v>
      </c>
      <c r="H266">
        <v>160</v>
      </c>
      <c r="I266" t="s">
        <v>51</v>
      </c>
      <c r="J266">
        <f t="shared" si="8"/>
        <v>1514</v>
      </c>
      <c r="K266">
        <f t="shared" si="9"/>
        <v>4.2272126816380453</v>
      </c>
    </row>
    <row r="267" spans="1:11">
      <c r="A267" t="s">
        <v>243</v>
      </c>
      <c r="B267" t="s">
        <v>25</v>
      </c>
      <c r="C267" t="s">
        <v>44</v>
      </c>
      <c r="D267">
        <v>606</v>
      </c>
      <c r="E267">
        <v>789</v>
      </c>
      <c r="F267">
        <v>470</v>
      </c>
      <c r="G267">
        <v>7878</v>
      </c>
      <c r="H267">
        <v>239</v>
      </c>
      <c r="I267" t="s">
        <v>33</v>
      </c>
      <c r="J267">
        <f t="shared" si="8"/>
        <v>1865</v>
      </c>
      <c r="K267">
        <f t="shared" si="9"/>
        <v>4.2241286863270782</v>
      </c>
    </row>
    <row r="268" spans="1:11">
      <c r="A268" t="s">
        <v>365</v>
      </c>
      <c r="B268" t="s">
        <v>14</v>
      </c>
      <c r="C268" t="s">
        <v>20</v>
      </c>
      <c r="D268">
        <v>2166</v>
      </c>
      <c r="E268">
        <v>354</v>
      </c>
      <c r="F268">
        <v>117</v>
      </c>
      <c r="G268">
        <v>10830</v>
      </c>
      <c r="H268">
        <v>24</v>
      </c>
      <c r="I268" t="s">
        <v>33</v>
      </c>
      <c r="J268">
        <f t="shared" si="8"/>
        <v>2637</v>
      </c>
      <c r="K268">
        <f t="shared" si="9"/>
        <v>4.1069397042093287</v>
      </c>
    </row>
    <row r="269" spans="1:11">
      <c r="A269" t="s">
        <v>345</v>
      </c>
      <c r="B269" t="s">
        <v>38</v>
      </c>
      <c r="C269" t="s">
        <v>44</v>
      </c>
      <c r="D269">
        <v>4236</v>
      </c>
      <c r="E269">
        <v>711</v>
      </c>
      <c r="F269">
        <v>298</v>
      </c>
      <c r="G269">
        <v>21180</v>
      </c>
      <c r="H269">
        <v>238</v>
      </c>
      <c r="I269" t="s">
        <v>51</v>
      </c>
      <c r="J269">
        <f t="shared" si="8"/>
        <v>5245</v>
      </c>
      <c r="K269">
        <f t="shared" si="9"/>
        <v>4.0381315538608202</v>
      </c>
    </row>
    <row r="270" spans="1:11">
      <c r="A270" t="s">
        <v>304</v>
      </c>
      <c r="B270" t="s">
        <v>25</v>
      </c>
      <c r="C270" t="s">
        <v>20</v>
      </c>
      <c r="D270">
        <v>4188</v>
      </c>
      <c r="E270">
        <v>942</v>
      </c>
      <c r="F270">
        <v>118</v>
      </c>
      <c r="G270">
        <v>20940</v>
      </c>
      <c r="H270">
        <v>102</v>
      </c>
      <c r="I270" t="s">
        <v>51</v>
      </c>
      <c r="J270">
        <f t="shared" si="8"/>
        <v>5248</v>
      </c>
      <c r="K270">
        <f t="shared" si="9"/>
        <v>3.9900914634146343</v>
      </c>
    </row>
    <row r="271" spans="1:11">
      <c r="A271" t="s">
        <v>333</v>
      </c>
      <c r="B271" t="s">
        <v>14</v>
      </c>
      <c r="C271" t="s">
        <v>39</v>
      </c>
      <c r="D271">
        <v>1877</v>
      </c>
      <c r="E271">
        <v>745</v>
      </c>
      <c r="F271">
        <v>225</v>
      </c>
      <c r="G271">
        <v>11262</v>
      </c>
      <c r="H271">
        <v>41</v>
      </c>
      <c r="I271" t="s">
        <v>33</v>
      </c>
      <c r="J271">
        <f t="shared" si="8"/>
        <v>2847</v>
      </c>
      <c r="K271">
        <f t="shared" si="9"/>
        <v>3.9557428872497367</v>
      </c>
    </row>
    <row r="272" spans="1:11">
      <c r="A272" t="s">
        <v>290</v>
      </c>
      <c r="B272" t="s">
        <v>30</v>
      </c>
      <c r="C272" t="s">
        <v>39</v>
      </c>
      <c r="D272">
        <v>1741</v>
      </c>
      <c r="E272">
        <v>164</v>
      </c>
      <c r="F272">
        <v>318</v>
      </c>
      <c r="G272">
        <v>8705</v>
      </c>
      <c r="H272">
        <v>121</v>
      </c>
      <c r="I272" t="s">
        <v>27</v>
      </c>
      <c r="J272">
        <f t="shared" si="8"/>
        <v>2223</v>
      </c>
      <c r="K272">
        <f t="shared" si="9"/>
        <v>3.9158794421952319</v>
      </c>
    </row>
    <row r="273" spans="1:11">
      <c r="A273" t="s">
        <v>282</v>
      </c>
      <c r="B273" t="s">
        <v>14</v>
      </c>
      <c r="C273" t="s">
        <v>15</v>
      </c>
      <c r="D273">
        <v>1188</v>
      </c>
      <c r="E273">
        <v>470</v>
      </c>
      <c r="F273">
        <v>174</v>
      </c>
      <c r="G273">
        <v>7128</v>
      </c>
      <c r="H273">
        <v>270</v>
      </c>
      <c r="I273" t="s">
        <v>27</v>
      </c>
      <c r="J273">
        <f t="shared" si="8"/>
        <v>1832</v>
      </c>
      <c r="K273">
        <f t="shared" si="9"/>
        <v>3.890829694323144</v>
      </c>
    </row>
    <row r="274" spans="1:11">
      <c r="A274" t="s">
        <v>326</v>
      </c>
      <c r="B274" t="s">
        <v>38</v>
      </c>
      <c r="C274" t="s">
        <v>20</v>
      </c>
      <c r="D274">
        <v>562</v>
      </c>
      <c r="E274">
        <v>158</v>
      </c>
      <c r="F274">
        <v>149</v>
      </c>
      <c r="G274">
        <v>3372</v>
      </c>
      <c r="H274">
        <v>93</v>
      </c>
      <c r="I274" t="s">
        <v>27</v>
      </c>
      <c r="J274">
        <f t="shared" si="8"/>
        <v>869</v>
      </c>
      <c r="K274">
        <f t="shared" si="9"/>
        <v>3.8803222094361334</v>
      </c>
    </row>
    <row r="275" spans="1:11">
      <c r="A275" t="s">
        <v>309</v>
      </c>
      <c r="B275" t="s">
        <v>25</v>
      </c>
      <c r="C275" t="s">
        <v>59</v>
      </c>
      <c r="D275">
        <v>4661</v>
      </c>
      <c r="E275">
        <v>935</v>
      </c>
      <c r="F275">
        <v>433</v>
      </c>
      <c r="G275">
        <v>23305</v>
      </c>
      <c r="H275">
        <v>63</v>
      </c>
      <c r="I275" t="s">
        <v>51</v>
      </c>
      <c r="J275">
        <f t="shared" si="8"/>
        <v>6029</v>
      </c>
      <c r="K275">
        <f t="shared" si="9"/>
        <v>3.8654834964339027</v>
      </c>
    </row>
    <row r="276" spans="1:11">
      <c r="A276" t="s">
        <v>314</v>
      </c>
      <c r="B276" t="s">
        <v>38</v>
      </c>
      <c r="C276" t="s">
        <v>31</v>
      </c>
      <c r="D276">
        <v>886</v>
      </c>
      <c r="E276">
        <v>126</v>
      </c>
      <c r="F276">
        <v>153</v>
      </c>
      <c r="G276">
        <v>4430</v>
      </c>
      <c r="H276">
        <v>212</v>
      </c>
      <c r="I276" t="s">
        <v>33</v>
      </c>
      <c r="J276">
        <f t="shared" si="8"/>
        <v>1165</v>
      </c>
      <c r="K276">
        <f t="shared" si="9"/>
        <v>3.8025751072961373</v>
      </c>
    </row>
    <row r="277" spans="1:11">
      <c r="A277" t="s">
        <v>331</v>
      </c>
      <c r="B277" t="s">
        <v>30</v>
      </c>
      <c r="C277" t="s">
        <v>15</v>
      </c>
      <c r="D277">
        <v>2603</v>
      </c>
      <c r="E277">
        <v>690</v>
      </c>
      <c r="F277">
        <v>205</v>
      </c>
      <c r="G277">
        <v>13015</v>
      </c>
      <c r="H277">
        <v>20</v>
      </c>
      <c r="I277" t="s">
        <v>51</v>
      </c>
      <c r="J277">
        <f t="shared" si="8"/>
        <v>3498</v>
      </c>
      <c r="K277">
        <f t="shared" si="9"/>
        <v>3.7206975414522585</v>
      </c>
    </row>
    <row r="278" spans="1:11">
      <c r="A278" t="s">
        <v>153</v>
      </c>
      <c r="B278" t="s">
        <v>30</v>
      </c>
      <c r="C278" t="s">
        <v>59</v>
      </c>
      <c r="D278">
        <v>1431</v>
      </c>
      <c r="E278">
        <v>951</v>
      </c>
      <c r="F278">
        <v>26</v>
      </c>
      <c r="G278">
        <v>8586</v>
      </c>
      <c r="H278">
        <v>150</v>
      </c>
      <c r="I278" t="s">
        <v>33</v>
      </c>
      <c r="J278">
        <f t="shared" si="8"/>
        <v>2408</v>
      </c>
      <c r="K278">
        <f t="shared" si="9"/>
        <v>3.5656146179401995</v>
      </c>
    </row>
    <row r="279" spans="1:11">
      <c r="A279" t="s">
        <v>81</v>
      </c>
      <c r="B279" t="s">
        <v>30</v>
      </c>
      <c r="C279" t="s">
        <v>20</v>
      </c>
      <c r="D279">
        <v>438</v>
      </c>
      <c r="E279">
        <v>153</v>
      </c>
      <c r="F279">
        <v>275</v>
      </c>
      <c r="G279">
        <v>3066</v>
      </c>
      <c r="H279">
        <v>282</v>
      </c>
      <c r="I279" t="s">
        <v>27</v>
      </c>
      <c r="J279">
        <f t="shared" si="8"/>
        <v>866</v>
      </c>
      <c r="K279">
        <f t="shared" si="9"/>
        <v>3.5404157043879909</v>
      </c>
    </row>
    <row r="280" spans="1:11">
      <c r="A280" t="s">
        <v>245</v>
      </c>
      <c r="B280" t="s">
        <v>30</v>
      </c>
      <c r="C280" t="s">
        <v>31</v>
      </c>
      <c r="D280">
        <v>360</v>
      </c>
      <c r="E280">
        <v>590</v>
      </c>
      <c r="F280">
        <v>393</v>
      </c>
      <c r="G280">
        <v>4680</v>
      </c>
      <c r="H280">
        <v>208</v>
      </c>
      <c r="I280" t="s">
        <v>51</v>
      </c>
      <c r="J280">
        <f t="shared" si="8"/>
        <v>1343</v>
      </c>
      <c r="K280">
        <f t="shared" si="9"/>
        <v>3.4847356664184663</v>
      </c>
    </row>
    <row r="281" spans="1:11">
      <c r="A281" t="s">
        <v>123</v>
      </c>
      <c r="B281" t="s">
        <v>14</v>
      </c>
      <c r="C281" t="s">
        <v>39</v>
      </c>
      <c r="D281">
        <v>432</v>
      </c>
      <c r="E281">
        <v>171</v>
      </c>
      <c r="F281">
        <v>280</v>
      </c>
      <c r="G281">
        <v>3024</v>
      </c>
      <c r="H281">
        <v>184</v>
      </c>
      <c r="I281" t="s">
        <v>33</v>
      </c>
      <c r="J281">
        <f t="shared" si="8"/>
        <v>883</v>
      </c>
      <c r="K281">
        <f t="shared" si="9"/>
        <v>3.4246885617214042</v>
      </c>
    </row>
    <row r="282" spans="1:11">
      <c r="A282" t="s">
        <v>266</v>
      </c>
      <c r="B282" t="s">
        <v>30</v>
      </c>
      <c r="C282" t="s">
        <v>39</v>
      </c>
      <c r="D282">
        <v>2234</v>
      </c>
      <c r="E282">
        <v>653</v>
      </c>
      <c r="F282">
        <v>432</v>
      </c>
      <c r="G282">
        <v>11170</v>
      </c>
      <c r="H282">
        <v>198</v>
      </c>
      <c r="I282" t="s">
        <v>51</v>
      </c>
      <c r="J282">
        <f t="shared" si="8"/>
        <v>3319</v>
      </c>
      <c r="K282">
        <f t="shared" si="9"/>
        <v>3.3654715275685447</v>
      </c>
    </row>
    <row r="283" spans="1:11">
      <c r="A283" t="s">
        <v>355</v>
      </c>
      <c r="B283" t="s">
        <v>30</v>
      </c>
      <c r="C283" t="s">
        <v>15</v>
      </c>
      <c r="D283">
        <v>1164</v>
      </c>
      <c r="E283">
        <v>616</v>
      </c>
      <c r="F283">
        <v>324</v>
      </c>
      <c r="G283">
        <v>6984</v>
      </c>
      <c r="H283">
        <v>82</v>
      </c>
      <c r="I283" t="s">
        <v>33</v>
      </c>
      <c r="J283">
        <f t="shared" si="8"/>
        <v>2104</v>
      </c>
      <c r="K283">
        <f t="shared" si="9"/>
        <v>3.3193916349809887</v>
      </c>
    </row>
    <row r="284" spans="1:11">
      <c r="A284" t="s">
        <v>179</v>
      </c>
      <c r="B284" t="s">
        <v>30</v>
      </c>
      <c r="C284" t="s">
        <v>15</v>
      </c>
      <c r="D284">
        <v>1970</v>
      </c>
      <c r="E284">
        <v>675</v>
      </c>
      <c r="F284">
        <v>478</v>
      </c>
      <c r="G284">
        <v>9850</v>
      </c>
      <c r="H284">
        <v>117</v>
      </c>
      <c r="I284" t="s">
        <v>51</v>
      </c>
      <c r="J284">
        <f t="shared" si="8"/>
        <v>3123</v>
      </c>
      <c r="K284">
        <f t="shared" si="9"/>
        <v>3.1540185718860072</v>
      </c>
    </row>
    <row r="285" spans="1:11">
      <c r="A285" t="s">
        <v>216</v>
      </c>
      <c r="B285" t="s">
        <v>30</v>
      </c>
      <c r="C285" t="s">
        <v>39</v>
      </c>
      <c r="D285">
        <v>985</v>
      </c>
      <c r="E285">
        <v>932</v>
      </c>
      <c r="F285">
        <v>287</v>
      </c>
      <c r="G285">
        <v>6895</v>
      </c>
      <c r="H285">
        <v>64</v>
      </c>
      <c r="I285" t="s">
        <v>51</v>
      </c>
      <c r="J285">
        <f t="shared" si="8"/>
        <v>2204</v>
      </c>
      <c r="K285">
        <f t="shared" si="9"/>
        <v>3.1284029038112524</v>
      </c>
    </row>
    <row r="286" spans="1:11">
      <c r="A286" t="s">
        <v>288</v>
      </c>
      <c r="B286" t="s">
        <v>38</v>
      </c>
      <c r="C286" t="s">
        <v>44</v>
      </c>
      <c r="D286">
        <v>602</v>
      </c>
      <c r="E286">
        <v>594</v>
      </c>
      <c r="F286">
        <v>156</v>
      </c>
      <c r="G286">
        <v>4214</v>
      </c>
      <c r="H286">
        <v>164</v>
      </c>
      <c r="I286" t="s">
        <v>27</v>
      </c>
      <c r="J286">
        <f t="shared" si="8"/>
        <v>1352</v>
      </c>
      <c r="K286">
        <f t="shared" si="9"/>
        <v>3.1168639053254439</v>
      </c>
    </row>
    <row r="287" spans="1:11">
      <c r="A287" t="s">
        <v>181</v>
      </c>
      <c r="B287" t="s">
        <v>30</v>
      </c>
      <c r="C287" t="s">
        <v>31</v>
      </c>
      <c r="D287">
        <v>498</v>
      </c>
      <c r="E287">
        <v>701</v>
      </c>
      <c r="F287">
        <v>412</v>
      </c>
      <c r="G287">
        <v>4980</v>
      </c>
      <c r="H287">
        <v>185</v>
      </c>
      <c r="I287" t="s">
        <v>51</v>
      </c>
      <c r="J287">
        <f t="shared" si="8"/>
        <v>1611</v>
      </c>
      <c r="K287">
        <f t="shared" si="9"/>
        <v>3.0912476722532589</v>
      </c>
    </row>
    <row r="288" spans="1:11">
      <c r="A288" t="s">
        <v>184</v>
      </c>
      <c r="B288" t="s">
        <v>25</v>
      </c>
      <c r="C288" t="s">
        <v>39</v>
      </c>
      <c r="D288">
        <v>736</v>
      </c>
      <c r="E288">
        <v>771</v>
      </c>
      <c r="F288">
        <v>225</v>
      </c>
      <c r="G288">
        <v>5152</v>
      </c>
      <c r="H288">
        <v>19</v>
      </c>
      <c r="I288" t="s">
        <v>33</v>
      </c>
      <c r="J288">
        <f t="shared" si="8"/>
        <v>1732</v>
      </c>
      <c r="K288">
        <f t="shared" si="9"/>
        <v>2.9745958429561199</v>
      </c>
    </row>
    <row r="289" spans="1:11">
      <c r="A289" t="s">
        <v>162</v>
      </c>
      <c r="B289" t="s">
        <v>14</v>
      </c>
      <c r="C289" t="s">
        <v>15</v>
      </c>
      <c r="D289">
        <v>1000</v>
      </c>
      <c r="E289">
        <v>978</v>
      </c>
      <c r="F289">
        <v>162</v>
      </c>
      <c r="G289">
        <v>6000</v>
      </c>
      <c r="H289">
        <v>223</v>
      </c>
      <c r="I289" t="s">
        <v>33</v>
      </c>
      <c r="J289">
        <f t="shared" si="8"/>
        <v>2140</v>
      </c>
      <c r="K289">
        <f t="shared" si="9"/>
        <v>2.8037383177570092</v>
      </c>
    </row>
    <row r="290" spans="1:11">
      <c r="A290" t="s">
        <v>108</v>
      </c>
      <c r="B290" t="s">
        <v>25</v>
      </c>
      <c r="C290" t="s">
        <v>39</v>
      </c>
      <c r="D290">
        <v>804</v>
      </c>
      <c r="E290">
        <v>639</v>
      </c>
      <c r="F290">
        <v>43</v>
      </c>
      <c r="G290">
        <v>4020</v>
      </c>
      <c r="H290">
        <v>11</v>
      </c>
      <c r="I290" t="s">
        <v>109</v>
      </c>
      <c r="J290">
        <f t="shared" si="8"/>
        <v>1486</v>
      </c>
      <c r="K290">
        <f t="shared" si="9"/>
        <v>2.7052489905787347</v>
      </c>
    </row>
    <row r="291" spans="1:11">
      <c r="A291" t="s">
        <v>277</v>
      </c>
      <c r="B291" t="s">
        <v>30</v>
      </c>
      <c r="C291" t="s">
        <v>44</v>
      </c>
      <c r="D291">
        <v>521</v>
      </c>
      <c r="E291">
        <v>746</v>
      </c>
      <c r="F291">
        <v>315</v>
      </c>
      <c r="G291">
        <v>4168</v>
      </c>
      <c r="H291">
        <v>282</v>
      </c>
      <c r="I291" t="s">
        <v>51</v>
      </c>
      <c r="J291">
        <f t="shared" si="8"/>
        <v>1582</v>
      </c>
      <c r="K291">
        <f t="shared" si="9"/>
        <v>2.634639696586599</v>
      </c>
    </row>
    <row r="292" spans="1:11">
      <c r="A292" t="s">
        <v>127</v>
      </c>
      <c r="B292" t="s">
        <v>38</v>
      </c>
      <c r="C292" t="s">
        <v>59</v>
      </c>
      <c r="D292">
        <v>199</v>
      </c>
      <c r="E292">
        <v>772</v>
      </c>
      <c r="F292">
        <v>400</v>
      </c>
      <c r="G292">
        <v>3582</v>
      </c>
      <c r="H292">
        <v>43</v>
      </c>
      <c r="I292" t="s">
        <v>27</v>
      </c>
      <c r="J292">
        <f t="shared" si="8"/>
        <v>1371</v>
      </c>
      <c r="K292">
        <f t="shared" si="9"/>
        <v>2.6126914660831511</v>
      </c>
    </row>
    <row r="293" spans="1:11">
      <c r="A293" t="s">
        <v>273</v>
      </c>
      <c r="B293" t="s">
        <v>25</v>
      </c>
      <c r="C293" t="s">
        <v>44</v>
      </c>
      <c r="D293">
        <v>257</v>
      </c>
      <c r="E293">
        <v>966</v>
      </c>
      <c r="F293">
        <v>398</v>
      </c>
      <c r="G293">
        <v>3341</v>
      </c>
      <c r="H293">
        <v>287</v>
      </c>
      <c r="I293" t="s">
        <v>51</v>
      </c>
      <c r="J293">
        <f t="shared" si="8"/>
        <v>1621</v>
      </c>
      <c r="K293">
        <f t="shared" si="9"/>
        <v>2.0610734114743985</v>
      </c>
    </row>
    <row r="294" spans="1:11">
      <c r="A294" t="s">
        <v>204</v>
      </c>
      <c r="B294" t="s">
        <v>25</v>
      </c>
      <c r="C294" t="s">
        <v>39</v>
      </c>
      <c r="D294">
        <v>80</v>
      </c>
      <c r="E294">
        <v>362</v>
      </c>
      <c r="F294">
        <v>80</v>
      </c>
      <c r="G294">
        <v>1040</v>
      </c>
      <c r="H294">
        <v>117</v>
      </c>
      <c r="I294" t="s">
        <v>27</v>
      </c>
      <c r="J294">
        <f t="shared" si="8"/>
        <v>522</v>
      </c>
      <c r="K294">
        <f t="shared" si="9"/>
        <v>1.9923371647509578</v>
      </c>
    </row>
    <row r="295" spans="1:11">
      <c r="A295" t="s">
        <v>332</v>
      </c>
      <c r="B295" t="s">
        <v>14</v>
      </c>
      <c r="C295" t="s">
        <v>44</v>
      </c>
      <c r="D295">
        <v>59</v>
      </c>
      <c r="E295">
        <v>163</v>
      </c>
      <c r="F295">
        <v>93</v>
      </c>
      <c r="G295">
        <v>590</v>
      </c>
      <c r="H295">
        <v>293</v>
      </c>
      <c r="I295" t="s">
        <v>27</v>
      </c>
      <c r="J295">
        <f t="shared" si="8"/>
        <v>315</v>
      </c>
      <c r="K295">
        <f t="shared" si="9"/>
        <v>1.873015873015873</v>
      </c>
    </row>
    <row r="296" spans="1:11">
      <c r="A296" t="s">
        <v>119</v>
      </c>
      <c r="B296" t="s">
        <v>14</v>
      </c>
      <c r="C296" t="s">
        <v>39</v>
      </c>
      <c r="D296">
        <v>53</v>
      </c>
      <c r="E296">
        <v>81</v>
      </c>
      <c r="F296">
        <v>379</v>
      </c>
      <c r="G296">
        <v>954</v>
      </c>
      <c r="H296">
        <v>148</v>
      </c>
      <c r="I296" t="s">
        <v>27</v>
      </c>
      <c r="J296">
        <f t="shared" si="8"/>
        <v>513</v>
      </c>
      <c r="K296">
        <f t="shared" si="9"/>
        <v>1.8596491228070176</v>
      </c>
    </row>
    <row r="297" spans="1:11">
      <c r="A297" t="s">
        <v>237</v>
      </c>
      <c r="B297" t="s">
        <v>30</v>
      </c>
      <c r="C297" t="s">
        <v>15</v>
      </c>
      <c r="D297">
        <v>142</v>
      </c>
      <c r="E297">
        <v>784</v>
      </c>
      <c r="F297">
        <v>183</v>
      </c>
      <c r="G297">
        <v>1704</v>
      </c>
      <c r="H297">
        <v>154</v>
      </c>
      <c r="I297" t="s">
        <v>51</v>
      </c>
      <c r="J297">
        <f t="shared" si="8"/>
        <v>1109</v>
      </c>
      <c r="K297">
        <f t="shared" si="9"/>
        <v>1.5365193868349865</v>
      </c>
    </row>
    <row r="298" spans="1:11">
      <c r="A298" t="s">
        <v>240</v>
      </c>
      <c r="B298" t="s">
        <v>30</v>
      </c>
      <c r="C298" t="s">
        <v>59</v>
      </c>
      <c r="D298">
        <v>129</v>
      </c>
      <c r="E298">
        <v>643</v>
      </c>
      <c r="F298">
        <v>136</v>
      </c>
      <c r="G298">
        <v>1290</v>
      </c>
      <c r="H298">
        <v>238</v>
      </c>
      <c r="I298" t="s">
        <v>27</v>
      </c>
      <c r="J298">
        <f t="shared" si="8"/>
        <v>908</v>
      </c>
      <c r="K298">
        <f t="shared" si="9"/>
        <v>1.420704845814978</v>
      </c>
    </row>
    <row r="299" spans="1:11">
      <c r="A299" t="s">
        <v>296</v>
      </c>
      <c r="B299" t="s">
        <v>14</v>
      </c>
      <c r="C299" t="s">
        <v>31</v>
      </c>
      <c r="D299">
        <v>249</v>
      </c>
      <c r="E299">
        <v>592</v>
      </c>
      <c r="F299">
        <v>230</v>
      </c>
      <c r="G299">
        <v>1494</v>
      </c>
      <c r="H299">
        <v>201</v>
      </c>
      <c r="I299" t="s">
        <v>33</v>
      </c>
      <c r="J299">
        <f t="shared" si="8"/>
        <v>1071</v>
      </c>
      <c r="K299">
        <f t="shared" si="9"/>
        <v>1.3949579831932772</v>
      </c>
    </row>
    <row r="300" spans="1:11">
      <c r="A300" t="s">
        <v>114</v>
      </c>
      <c r="B300" t="s">
        <v>30</v>
      </c>
      <c r="C300" t="s">
        <v>15</v>
      </c>
      <c r="D300">
        <v>103</v>
      </c>
      <c r="E300">
        <v>770</v>
      </c>
      <c r="F300">
        <v>19</v>
      </c>
      <c r="G300">
        <v>1030</v>
      </c>
      <c r="H300">
        <v>262</v>
      </c>
      <c r="I300" t="s">
        <v>27</v>
      </c>
      <c r="J300">
        <f t="shared" si="8"/>
        <v>892</v>
      </c>
      <c r="K300">
        <f t="shared" si="9"/>
        <v>1.1547085201793721</v>
      </c>
    </row>
    <row r="301" spans="1:11">
      <c r="A301" t="s">
        <v>283</v>
      </c>
      <c r="B301" t="s">
        <v>30</v>
      </c>
      <c r="C301" t="s">
        <v>31</v>
      </c>
      <c r="D301">
        <v>84</v>
      </c>
      <c r="E301">
        <v>897</v>
      </c>
      <c r="F301">
        <v>85</v>
      </c>
      <c r="G301">
        <v>588</v>
      </c>
      <c r="H301">
        <v>12</v>
      </c>
      <c r="I301" t="s">
        <v>33</v>
      </c>
      <c r="J301">
        <f t="shared" si="8"/>
        <v>1066</v>
      </c>
      <c r="K301">
        <f t="shared" si="9"/>
        <v>0.55159474671669795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E757-EE34-4423-ABB3-43DA8D81C8BA}">
  <dimension ref="A1:K34"/>
  <sheetViews>
    <sheetView workbookViewId="0">
      <selection activeCell="A12" sqref="A12:K23"/>
    </sheetView>
  </sheetViews>
  <sheetFormatPr defaultRowHeight="14.4"/>
  <cols>
    <col min="1" max="1" width="23.296875" customWidth="1"/>
    <col min="2" max="2" width="26.296875" bestFit="1" customWidth="1"/>
    <col min="3" max="3" width="11.59765625" customWidth="1"/>
    <col min="4" max="6" width="10.296875" customWidth="1"/>
    <col min="7" max="7" width="10.59765625" customWidth="1"/>
    <col min="8" max="9" width="10.296875" customWidth="1"/>
    <col min="10" max="10" width="16.19921875" customWidth="1"/>
    <col min="11" max="11" width="15.796875" customWidth="1"/>
  </cols>
  <sheetData>
    <row r="1" spans="1:11">
      <c r="A1" s="4" t="s">
        <v>425</v>
      </c>
      <c r="B1" t="s">
        <v>427</v>
      </c>
    </row>
    <row r="3" spans="1:11">
      <c r="A3" s="2" t="s">
        <v>371</v>
      </c>
      <c r="B3" t="s">
        <v>373</v>
      </c>
    </row>
    <row r="4" spans="1:11">
      <c r="A4" s="3" t="s">
        <v>38</v>
      </c>
      <c r="B4">
        <v>10.086539449819112</v>
      </c>
    </row>
    <row r="5" spans="1:11">
      <c r="A5" s="3" t="s">
        <v>30</v>
      </c>
      <c r="B5">
        <v>8.0970698160630388</v>
      </c>
    </row>
    <row r="6" spans="1:11">
      <c r="A6" s="3" t="s">
        <v>14</v>
      </c>
      <c r="B6">
        <v>9.2990118608011549</v>
      </c>
    </row>
    <row r="7" spans="1:11">
      <c r="A7" s="3" t="s">
        <v>25</v>
      </c>
      <c r="B7">
        <v>10.254544615700226</v>
      </c>
    </row>
    <row r="8" spans="1:11">
      <c r="A8" s="3" t="s">
        <v>372</v>
      </c>
      <c r="B8">
        <v>9.3883045304452359</v>
      </c>
    </row>
    <row r="12" spans="1:11">
      <c r="A12" t="s">
        <v>376</v>
      </c>
      <c r="B12" t="s">
        <v>429</v>
      </c>
      <c r="C12" t="s">
        <v>430</v>
      </c>
      <c r="D12" t="s">
        <v>431</v>
      </c>
      <c r="E12" t="s">
        <v>432</v>
      </c>
      <c r="F12" t="s">
        <v>433</v>
      </c>
      <c r="G12" t="s">
        <v>434</v>
      </c>
      <c r="H12" t="s">
        <v>435</v>
      </c>
      <c r="I12" t="s">
        <v>436</v>
      </c>
      <c r="J12" t="s">
        <v>437</v>
      </c>
      <c r="K12" t="s">
        <v>438</v>
      </c>
    </row>
    <row r="13" spans="1:11">
      <c r="A13" t="s">
        <v>0</v>
      </c>
      <c r="B13" t="s">
        <v>1</v>
      </c>
      <c r="C13" t="s">
        <v>3</v>
      </c>
      <c r="D13" t="s">
        <v>5</v>
      </c>
      <c r="E13" t="s">
        <v>6</v>
      </c>
      <c r="F13" t="s">
        <v>7</v>
      </c>
      <c r="G13" t="s">
        <v>8</v>
      </c>
      <c r="H13" t="s">
        <v>10</v>
      </c>
      <c r="I13" t="s">
        <v>11</v>
      </c>
      <c r="J13" s="1" t="s">
        <v>369</v>
      </c>
      <c r="K13" t="s">
        <v>370</v>
      </c>
    </row>
    <row r="14" spans="1:11">
      <c r="A14" t="s">
        <v>120</v>
      </c>
      <c r="B14" t="s">
        <v>14</v>
      </c>
      <c r="C14" t="s">
        <v>39</v>
      </c>
      <c r="D14">
        <v>4507</v>
      </c>
      <c r="E14">
        <v>217</v>
      </c>
      <c r="F14">
        <v>13</v>
      </c>
      <c r="G14">
        <v>90140</v>
      </c>
      <c r="H14">
        <v>125</v>
      </c>
      <c r="I14" t="s">
        <v>51</v>
      </c>
      <c r="J14">
        <v>4737</v>
      </c>
      <c r="K14">
        <v>19.028921258180283</v>
      </c>
    </row>
    <row r="15" spans="1:11">
      <c r="A15" t="s">
        <v>238</v>
      </c>
      <c r="B15" t="s">
        <v>38</v>
      </c>
      <c r="C15" t="s">
        <v>59</v>
      </c>
      <c r="D15">
        <v>3798</v>
      </c>
      <c r="E15">
        <v>31</v>
      </c>
      <c r="F15">
        <v>279</v>
      </c>
      <c r="G15">
        <v>75960</v>
      </c>
      <c r="H15">
        <v>266</v>
      </c>
      <c r="I15" t="s">
        <v>27</v>
      </c>
      <c r="J15">
        <v>4108</v>
      </c>
      <c r="K15">
        <v>18.490749756572541</v>
      </c>
    </row>
    <row r="16" spans="1:11">
      <c r="A16" t="s">
        <v>24</v>
      </c>
      <c r="B16" t="s">
        <v>25</v>
      </c>
      <c r="C16" t="s">
        <v>15</v>
      </c>
      <c r="D16">
        <v>2795</v>
      </c>
      <c r="E16">
        <v>105</v>
      </c>
      <c r="F16">
        <v>49</v>
      </c>
      <c r="G16">
        <v>53105</v>
      </c>
      <c r="H16">
        <v>204</v>
      </c>
      <c r="I16" t="s">
        <v>27</v>
      </c>
      <c r="J16">
        <v>2949</v>
      </c>
      <c r="K16">
        <v>18.007799253984402</v>
      </c>
    </row>
    <row r="17" spans="1:11">
      <c r="A17" t="s">
        <v>252</v>
      </c>
      <c r="B17" t="s">
        <v>25</v>
      </c>
      <c r="C17" t="s">
        <v>20</v>
      </c>
      <c r="D17">
        <v>1963</v>
      </c>
      <c r="E17">
        <v>213</v>
      </c>
      <c r="F17">
        <v>19</v>
      </c>
      <c r="G17">
        <v>39260</v>
      </c>
      <c r="H17">
        <v>145</v>
      </c>
      <c r="I17" t="s">
        <v>51</v>
      </c>
      <c r="J17">
        <v>2195</v>
      </c>
      <c r="K17">
        <v>17.886104783599087</v>
      </c>
    </row>
    <row r="18" spans="1:11">
      <c r="A18" t="s">
        <v>206</v>
      </c>
      <c r="B18" t="s">
        <v>30</v>
      </c>
      <c r="C18" t="s">
        <v>39</v>
      </c>
      <c r="D18">
        <v>1878</v>
      </c>
      <c r="E18">
        <v>62</v>
      </c>
      <c r="F18">
        <v>179</v>
      </c>
      <c r="G18">
        <v>37560</v>
      </c>
      <c r="H18">
        <v>142</v>
      </c>
      <c r="I18" t="s">
        <v>27</v>
      </c>
      <c r="J18">
        <v>2119</v>
      </c>
      <c r="K18">
        <v>17.725342142520056</v>
      </c>
    </row>
    <row r="19" spans="1:11">
      <c r="A19" t="s">
        <v>289</v>
      </c>
      <c r="B19" t="s">
        <v>14</v>
      </c>
      <c r="C19" t="s">
        <v>39</v>
      </c>
      <c r="D19">
        <v>4672</v>
      </c>
      <c r="E19">
        <v>325</v>
      </c>
      <c r="F19">
        <v>32</v>
      </c>
      <c r="G19">
        <v>88768</v>
      </c>
      <c r="H19">
        <v>118</v>
      </c>
      <c r="I19" t="s">
        <v>33</v>
      </c>
      <c r="J19">
        <v>5029</v>
      </c>
      <c r="K19">
        <v>17.651222907138596</v>
      </c>
    </row>
    <row r="20" spans="1:11">
      <c r="A20" t="s">
        <v>265</v>
      </c>
      <c r="B20" t="s">
        <v>30</v>
      </c>
      <c r="C20" t="s">
        <v>39</v>
      </c>
      <c r="D20">
        <v>3773</v>
      </c>
      <c r="E20">
        <v>299</v>
      </c>
      <c r="F20">
        <v>38</v>
      </c>
      <c r="G20">
        <v>71687</v>
      </c>
      <c r="H20">
        <v>286</v>
      </c>
      <c r="I20" t="s">
        <v>51</v>
      </c>
      <c r="J20">
        <v>4110</v>
      </c>
      <c r="K20">
        <v>17.442092457420923</v>
      </c>
    </row>
    <row r="21" spans="1:11">
      <c r="A21" t="s">
        <v>80</v>
      </c>
      <c r="B21" t="s">
        <v>30</v>
      </c>
      <c r="C21" t="s">
        <v>59</v>
      </c>
      <c r="D21">
        <v>3095</v>
      </c>
      <c r="E21">
        <v>39</v>
      </c>
      <c r="F21">
        <v>78</v>
      </c>
      <c r="G21">
        <v>55710</v>
      </c>
      <c r="H21">
        <v>93</v>
      </c>
      <c r="I21" t="s">
        <v>33</v>
      </c>
      <c r="J21">
        <v>3212</v>
      </c>
      <c r="K21">
        <v>17.344333748443336</v>
      </c>
    </row>
    <row r="22" spans="1:11">
      <c r="A22" t="s">
        <v>322</v>
      </c>
      <c r="B22" t="s">
        <v>25</v>
      </c>
      <c r="C22" t="s">
        <v>39</v>
      </c>
      <c r="D22">
        <v>2143</v>
      </c>
      <c r="E22">
        <v>12</v>
      </c>
      <c r="F22">
        <v>204</v>
      </c>
      <c r="G22">
        <v>40717</v>
      </c>
      <c r="H22">
        <v>248</v>
      </c>
      <c r="I22" t="s">
        <v>33</v>
      </c>
      <c r="J22">
        <v>2359</v>
      </c>
      <c r="K22">
        <v>17.260279779567615</v>
      </c>
    </row>
    <row r="23" spans="1:11">
      <c r="A23" t="s">
        <v>351</v>
      </c>
      <c r="B23" t="s">
        <v>14</v>
      </c>
      <c r="C23" t="s">
        <v>15</v>
      </c>
      <c r="D23">
        <v>3367</v>
      </c>
      <c r="E23">
        <v>302</v>
      </c>
      <c r="F23">
        <v>57</v>
      </c>
      <c r="G23">
        <v>63973</v>
      </c>
      <c r="H23">
        <v>157</v>
      </c>
      <c r="I23" t="s">
        <v>51</v>
      </c>
      <c r="J23">
        <v>3726</v>
      </c>
      <c r="K23">
        <v>17.169350509930219</v>
      </c>
    </row>
    <row r="30" spans="1:11">
      <c r="A30" s="3"/>
    </row>
    <row r="31" spans="1:11">
      <c r="A31" s="3"/>
    </row>
    <row r="32" spans="1:11">
      <c r="A32" s="3"/>
    </row>
    <row r="33" spans="1:1">
      <c r="A33" s="3"/>
    </row>
    <row r="34" spans="1:1">
      <c r="A34" s="3"/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2228-9E82-499F-9B14-1C9DB22C7BEE}">
  <dimension ref="A1:P10"/>
  <sheetViews>
    <sheetView workbookViewId="0"/>
  </sheetViews>
  <sheetFormatPr defaultRowHeight="14.4"/>
  <cols>
    <col min="1" max="1" width="12.59765625" bestFit="1" customWidth="1"/>
    <col min="2" max="2" width="15.59765625" bestFit="1" customWidth="1"/>
    <col min="3" max="3" width="11.19921875" bestFit="1" customWidth="1"/>
    <col min="4" max="4" width="14.8984375" bestFit="1" customWidth="1"/>
    <col min="5" max="5" width="9.796875" bestFit="1" customWidth="1"/>
    <col min="6" max="6" width="11.19921875" bestFit="1" customWidth="1"/>
    <col min="7" max="7" width="14.8984375" bestFit="1" customWidth="1"/>
    <col min="8" max="8" width="9.796875" bestFit="1" customWidth="1"/>
    <col min="9" max="9" width="11.19921875" bestFit="1" customWidth="1"/>
    <col min="10" max="10" width="14.8984375" bestFit="1" customWidth="1"/>
    <col min="11" max="11" width="9.796875" bestFit="1" customWidth="1"/>
    <col min="12" max="12" width="11.19921875" bestFit="1" customWidth="1"/>
    <col min="13" max="13" width="14.8984375" bestFit="1" customWidth="1"/>
    <col min="14" max="14" width="14.59765625" bestFit="1" customWidth="1"/>
    <col min="15" max="15" width="16" bestFit="1" customWidth="1"/>
    <col min="16" max="16" width="19.69921875" bestFit="1" customWidth="1"/>
    <col min="17" max="17" width="15.796875" bestFit="1" customWidth="1"/>
    <col min="18" max="18" width="14.59765625" bestFit="1" customWidth="1"/>
    <col min="19" max="19" width="17.8984375" bestFit="1" customWidth="1"/>
    <col min="20" max="20" width="19.69921875" bestFit="1" customWidth="1"/>
    <col min="21" max="21" width="20.59765625" bestFit="1" customWidth="1"/>
  </cols>
  <sheetData>
    <row r="1" spans="1:16">
      <c r="A1" s="4" t="s">
        <v>425</v>
      </c>
      <c r="B1" t="s">
        <v>428</v>
      </c>
    </row>
    <row r="3" spans="1:16">
      <c r="B3" s="2" t="s">
        <v>389</v>
      </c>
    </row>
    <row r="4" spans="1:16">
      <c r="B4" t="s">
        <v>38</v>
      </c>
      <c r="E4" t="s">
        <v>30</v>
      </c>
      <c r="H4" t="s">
        <v>14</v>
      </c>
      <c r="K4" t="s">
        <v>25</v>
      </c>
      <c r="N4" t="s">
        <v>390</v>
      </c>
      <c r="O4" t="s">
        <v>394</v>
      </c>
      <c r="P4" t="s">
        <v>392</v>
      </c>
    </row>
    <row r="5" spans="1:16">
      <c r="A5" s="2" t="s">
        <v>371</v>
      </c>
      <c r="B5" t="s">
        <v>391</v>
      </c>
      <c r="C5" t="s">
        <v>395</v>
      </c>
      <c r="D5" t="s">
        <v>393</v>
      </c>
      <c r="E5" t="s">
        <v>391</v>
      </c>
      <c r="F5" t="s">
        <v>395</v>
      </c>
      <c r="G5" t="s">
        <v>393</v>
      </c>
      <c r="H5" t="s">
        <v>391</v>
      </c>
      <c r="I5" t="s">
        <v>395</v>
      </c>
      <c r="J5" t="s">
        <v>393</v>
      </c>
      <c r="K5" t="s">
        <v>391</v>
      </c>
      <c r="L5" t="s">
        <v>395</v>
      </c>
      <c r="M5" t="s">
        <v>393</v>
      </c>
    </row>
    <row r="6" spans="1:16">
      <c r="A6" s="3" t="s">
        <v>39</v>
      </c>
      <c r="E6">
        <v>5651</v>
      </c>
      <c r="F6">
        <v>361</v>
      </c>
      <c r="G6">
        <v>217</v>
      </c>
      <c r="H6">
        <v>9179</v>
      </c>
      <c r="I6">
        <v>542</v>
      </c>
      <c r="J6">
        <v>45</v>
      </c>
      <c r="K6">
        <v>2143</v>
      </c>
      <c r="L6">
        <v>12</v>
      </c>
      <c r="M6">
        <v>204</v>
      </c>
      <c r="N6">
        <v>16973</v>
      </c>
      <c r="O6">
        <v>915</v>
      </c>
      <c r="P6">
        <v>466</v>
      </c>
    </row>
    <row r="7" spans="1:16">
      <c r="A7" s="3" t="s">
        <v>15</v>
      </c>
      <c r="H7">
        <v>3367</v>
      </c>
      <c r="I7">
        <v>302</v>
      </c>
      <c r="J7">
        <v>57</v>
      </c>
      <c r="K7">
        <v>2795</v>
      </c>
      <c r="L7">
        <v>105</v>
      </c>
      <c r="M7">
        <v>49</v>
      </c>
      <c r="N7">
        <v>6162</v>
      </c>
      <c r="O7">
        <v>407</v>
      </c>
      <c r="P7">
        <v>106</v>
      </c>
    </row>
    <row r="8" spans="1:16">
      <c r="A8" s="3" t="s">
        <v>20</v>
      </c>
      <c r="K8">
        <v>1963</v>
      </c>
      <c r="L8">
        <v>213</v>
      </c>
      <c r="M8">
        <v>19</v>
      </c>
      <c r="N8">
        <v>1963</v>
      </c>
      <c r="O8">
        <v>213</v>
      </c>
      <c r="P8">
        <v>19</v>
      </c>
    </row>
    <row r="9" spans="1:16">
      <c r="A9" s="3" t="s">
        <v>59</v>
      </c>
      <c r="B9">
        <v>3798</v>
      </c>
      <c r="C9">
        <v>31</v>
      </c>
      <c r="D9">
        <v>279</v>
      </c>
      <c r="E9">
        <v>3095</v>
      </c>
      <c r="F9">
        <v>39</v>
      </c>
      <c r="G9">
        <v>78</v>
      </c>
      <c r="N9">
        <v>6893</v>
      </c>
      <c r="O9">
        <v>70</v>
      </c>
      <c r="P9">
        <v>357</v>
      </c>
    </row>
    <row r="10" spans="1:16">
      <c r="A10" s="3" t="s">
        <v>372</v>
      </c>
      <c r="B10">
        <v>3798</v>
      </c>
      <c r="C10">
        <v>31</v>
      </c>
      <c r="D10">
        <v>279</v>
      </c>
      <c r="E10">
        <v>8746</v>
      </c>
      <c r="F10">
        <v>400</v>
      </c>
      <c r="G10">
        <v>295</v>
      </c>
      <c r="H10">
        <v>12546</v>
      </c>
      <c r="I10">
        <v>844</v>
      </c>
      <c r="J10">
        <v>102</v>
      </c>
      <c r="K10">
        <v>6901</v>
      </c>
      <c r="L10">
        <v>330</v>
      </c>
      <c r="M10">
        <v>272</v>
      </c>
      <c r="N10">
        <v>31991</v>
      </c>
      <c r="O10">
        <v>1605</v>
      </c>
      <c r="P10">
        <v>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DA64-7C6F-4DF0-8ED2-56CD40613302}">
  <dimension ref="A1:D302"/>
  <sheetViews>
    <sheetView workbookViewId="0">
      <selection activeCell="G17" sqref="G17"/>
    </sheetView>
  </sheetViews>
  <sheetFormatPr defaultRowHeight="14.4"/>
  <cols>
    <col min="1" max="1" width="10.296875" customWidth="1"/>
    <col min="2" max="2" width="36.19921875" customWidth="1"/>
    <col min="3" max="4" width="10.296875" customWidth="1"/>
  </cols>
  <sheetData>
    <row r="1" spans="1:4">
      <c r="A1" t="s">
        <v>429</v>
      </c>
      <c r="B1" t="s">
        <v>430</v>
      </c>
      <c r="C1" t="s">
        <v>431</v>
      </c>
      <c r="D1" t="s">
        <v>432</v>
      </c>
    </row>
    <row r="2" spans="1:4">
      <c r="A2" t="s">
        <v>10</v>
      </c>
      <c r="B2" t="s">
        <v>11</v>
      </c>
    </row>
    <row r="3" spans="1:4">
      <c r="A3">
        <v>125</v>
      </c>
      <c r="B3" t="s">
        <v>51</v>
      </c>
    </row>
    <row r="4" spans="1:4">
      <c r="A4">
        <v>266</v>
      </c>
      <c r="B4" t="s">
        <v>27</v>
      </c>
    </row>
    <row r="5" spans="1:4">
      <c r="A5">
        <v>204</v>
      </c>
      <c r="B5" t="s">
        <v>27</v>
      </c>
    </row>
    <row r="6" spans="1:4">
      <c r="A6">
        <v>145</v>
      </c>
      <c r="B6" t="s">
        <v>51</v>
      </c>
    </row>
    <row r="7" spans="1:4">
      <c r="A7">
        <v>142</v>
      </c>
      <c r="B7" t="s">
        <v>27</v>
      </c>
    </row>
    <row r="8" spans="1:4">
      <c r="A8">
        <v>118</v>
      </c>
      <c r="B8" t="s">
        <v>33</v>
      </c>
    </row>
    <row r="9" spans="1:4">
      <c r="A9">
        <v>286</v>
      </c>
      <c r="B9" t="s">
        <v>51</v>
      </c>
    </row>
    <row r="10" spans="1:4">
      <c r="A10">
        <v>93</v>
      </c>
      <c r="B10" t="s">
        <v>33</v>
      </c>
    </row>
    <row r="11" spans="1:4">
      <c r="A11">
        <v>248</v>
      </c>
      <c r="B11" t="s">
        <v>33</v>
      </c>
    </row>
    <row r="12" spans="1:4">
      <c r="A12">
        <v>157</v>
      </c>
      <c r="B12" t="s">
        <v>51</v>
      </c>
    </row>
    <row r="13" spans="1:4">
      <c r="A13">
        <v>119</v>
      </c>
      <c r="B13" t="s">
        <v>33</v>
      </c>
    </row>
    <row r="14" spans="1:4">
      <c r="A14">
        <v>14</v>
      </c>
      <c r="B14" t="s">
        <v>27</v>
      </c>
    </row>
    <row r="15" spans="1:4">
      <c r="A15">
        <v>210</v>
      </c>
      <c r="B15" t="s">
        <v>27</v>
      </c>
      <c r="C15" t="s">
        <v>396</v>
      </c>
    </row>
    <row r="16" spans="1:4">
      <c r="A16">
        <v>20</v>
      </c>
      <c r="B16" t="s">
        <v>51</v>
      </c>
    </row>
    <row r="17" spans="1:3">
      <c r="A17">
        <v>238</v>
      </c>
      <c r="B17" t="s">
        <v>33</v>
      </c>
    </row>
    <row r="18" spans="1:3">
      <c r="A18">
        <v>279</v>
      </c>
      <c r="B18" t="s">
        <v>27</v>
      </c>
    </row>
    <row r="19" spans="1:3">
      <c r="A19">
        <v>252</v>
      </c>
      <c r="B19" t="s">
        <v>27</v>
      </c>
    </row>
    <row r="20" spans="1:3">
      <c r="A20">
        <v>242</v>
      </c>
      <c r="B20" t="s">
        <v>27</v>
      </c>
      <c r="C20" t="s">
        <v>397</v>
      </c>
    </row>
    <row r="21" spans="1:3">
      <c r="A21">
        <v>182</v>
      </c>
      <c r="B21" t="s">
        <v>27</v>
      </c>
    </row>
    <row r="22" spans="1:3">
      <c r="A22">
        <v>233</v>
      </c>
      <c r="B22" t="s">
        <v>27</v>
      </c>
    </row>
    <row r="23" spans="1:3">
      <c r="A23">
        <v>56</v>
      </c>
      <c r="B23" t="s">
        <v>27</v>
      </c>
    </row>
    <row r="24" spans="1:3">
      <c r="A24">
        <v>135</v>
      </c>
      <c r="B24" t="s">
        <v>33</v>
      </c>
    </row>
    <row r="25" spans="1:3">
      <c r="A25">
        <v>290</v>
      </c>
      <c r="B25" t="s">
        <v>27</v>
      </c>
    </row>
    <row r="26" spans="1:3">
      <c r="A26">
        <v>100</v>
      </c>
      <c r="B26" t="s">
        <v>33</v>
      </c>
    </row>
    <row r="27" spans="1:3">
      <c r="A27">
        <v>25</v>
      </c>
      <c r="B27" t="s">
        <v>27</v>
      </c>
    </row>
    <row r="28" spans="1:3">
      <c r="A28">
        <v>62</v>
      </c>
      <c r="B28" t="s">
        <v>51</v>
      </c>
    </row>
    <row r="29" spans="1:3">
      <c r="A29">
        <v>88</v>
      </c>
      <c r="B29" t="s">
        <v>51</v>
      </c>
    </row>
    <row r="30" spans="1:3">
      <c r="A30">
        <v>272</v>
      </c>
      <c r="B30" t="s">
        <v>51</v>
      </c>
    </row>
    <row r="31" spans="1:3">
      <c r="A31">
        <v>19</v>
      </c>
      <c r="B31" t="s">
        <v>33</v>
      </c>
    </row>
    <row r="32" spans="1:3">
      <c r="A32">
        <v>66</v>
      </c>
      <c r="B32" t="s">
        <v>33</v>
      </c>
    </row>
    <row r="33" spans="1:3">
      <c r="A33">
        <v>242</v>
      </c>
      <c r="B33" t="s">
        <v>33</v>
      </c>
      <c r="C33" t="s">
        <v>398</v>
      </c>
    </row>
    <row r="34" spans="1:3">
      <c r="A34">
        <v>224</v>
      </c>
      <c r="B34" t="s">
        <v>33</v>
      </c>
      <c r="C34" t="s">
        <v>27</v>
      </c>
    </row>
    <row r="35" spans="1:3">
      <c r="A35">
        <v>241</v>
      </c>
      <c r="B35" t="s">
        <v>27</v>
      </c>
    </row>
    <row r="36" spans="1:3">
      <c r="A36">
        <v>76</v>
      </c>
      <c r="B36" t="s">
        <v>51</v>
      </c>
    </row>
    <row r="37" spans="1:3">
      <c r="A37">
        <v>262</v>
      </c>
      <c r="B37" t="s">
        <v>51</v>
      </c>
    </row>
    <row r="38" spans="1:3">
      <c r="A38">
        <v>163</v>
      </c>
      <c r="B38" t="s">
        <v>51</v>
      </c>
    </row>
    <row r="39" spans="1:3">
      <c r="A39">
        <v>53</v>
      </c>
      <c r="B39" t="s">
        <v>27</v>
      </c>
    </row>
    <row r="40" spans="1:3">
      <c r="A40">
        <v>158</v>
      </c>
      <c r="B40" t="s">
        <v>51</v>
      </c>
    </row>
    <row r="41" spans="1:3">
      <c r="A41">
        <v>114</v>
      </c>
      <c r="B41" t="s">
        <v>51</v>
      </c>
    </row>
    <row r="42" spans="1:3">
      <c r="A42">
        <v>235</v>
      </c>
      <c r="B42" t="s">
        <v>27</v>
      </c>
    </row>
    <row r="43" spans="1:3">
      <c r="A43">
        <v>215</v>
      </c>
      <c r="B43" t="s">
        <v>27</v>
      </c>
    </row>
    <row r="44" spans="1:3">
      <c r="A44">
        <v>297</v>
      </c>
      <c r="B44" t="s">
        <v>27</v>
      </c>
    </row>
    <row r="45" spans="1:3">
      <c r="A45">
        <v>103</v>
      </c>
      <c r="B45" t="s">
        <v>27</v>
      </c>
    </row>
    <row r="46" spans="1:3">
      <c r="A46">
        <v>51</v>
      </c>
      <c r="B46" t="s">
        <v>51</v>
      </c>
    </row>
    <row r="47" spans="1:3">
      <c r="A47">
        <v>25</v>
      </c>
      <c r="B47" t="s">
        <v>27</v>
      </c>
    </row>
    <row r="48" spans="1:3">
      <c r="A48">
        <v>35</v>
      </c>
      <c r="B48" t="s">
        <v>33</v>
      </c>
    </row>
    <row r="49" spans="1:2">
      <c r="A49">
        <v>167</v>
      </c>
      <c r="B49" t="s">
        <v>27</v>
      </c>
    </row>
    <row r="50" spans="1:2">
      <c r="A50">
        <v>173</v>
      </c>
      <c r="B50" t="s">
        <v>51</v>
      </c>
    </row>
    <row r="51" spans="1:2">
      <c r="A51">
        <v>161</v>
      </c>
      <c r="B51" t="s">
        <v>51</v>
      </c>
    </row>
    <row r="52" spans="1:2">
      <c r="A52">
        <v>89</v>
      </c>
      <c r="B52" t="s">
        <v>33</v>
      </c>
    </row>
    <row r="53" spans="1:2">
      <c r="A53">
        <v>92</v>
      </c>
      <c r="B53" t="s">
        <v>27</v>
      </c>
    </row>
    <row r="54" spans="1:2">
      <c r="A54">
        <v>192</v>
      </c>
      <c r="B54" t="s">
        <v>27</v>
      </c>
    </row>
    <row r="55" spans="1:2">
      <c r="A55">
        <v>43</v>
      </c>
      <c r="B55" t="s">
        <v>51</v>
      </c>
    </row>
    <row r="56" spans="1:2">
      <c r="A56">
        <v>246</v>
      </c>
      <c r="B56" t="s">
        <v>33</v>
      </c>
    </row>
    <row r="57" spans="1:2">
      <c r="A57">
        <v>249</v>
      </c>
      <c r="B57" t="s">
        <v>51</v>
      </c>
    </row>
    <row r="58" spans="1:2">
      <c r="A58">
        <v>129</v>
      </c>
      <c r="B58" t="s">
        <v>51</v>
      </c>
    </row>
    <row r="59" spans="1:2">
      <c r="A59">
        <v>251</v>
      </c>
      <c r="B59" t="s">
        <v>51</v>
      </c>
    </row>
    <row r="60" spans="1:2">
      <c r="A60">
        <v>119</v>
      </c>
      <c r="B60" t="s">
        <v>27</v>
      </c>
    </row>
    <row r="61" spans="1:2">
      <c r="A61">
        <v>12</v>
      </c>
      <c r="B61" t="s">
        <v>51</v>
      </c>
    </row>
    <row r="62" spans="1:2">
      <c r="A62">
        <v>40</v>
      </c>
      <c r="B62" t="s">
        <v>27</v>
      </c>
    </row>
    <row r="63" spans="1:2">
      <c r="A63">
        <v>182</v>
      </c>
      <c r="B63" t="s">
        <v>33</v>
      </c>
    </row>
    <row r="64" spans="1:2">
      <c r="A64">
        <v>176</v>
      </c>
      <c r="B64" t="s">
        <v>51</v>
      </c>
    </row>
    <row r="65" spans="1:4">
      <c r="A65">
        <v>292</v>
      </c>
      <c r="B65" t="s">
        <v>27</v>
      </c>
    </row>
    <row r="66" spans="1:4">
      <c r="A66">
        <v>87</v>
      </c>
      <c r="B66" t="s">
        <v>51</v>
      </c>
    </row>
    <row r="67" spans="1:4">
      <c r="A67">
        <v>114</v>
      </c>
      <c r="B67" t="s">
        <v>33</v>
      </c>
    </row>
    <row r="68" spans="1:4">
      <c r="A68">
        <v>42</v>
      </c>
      <c r="B68" t="s">
        <v>27</v>
      </c>
    </row>
    <row r="69" spans="1:4">
      <c r="A69">
        <v>117</v>
      </c>
      <c r="B69" t="s">
        <v>27</v>
      </c>
      <c r="C69" t="s">
        <v>398</v>
      </c>
    </row>
    <row r="70" spans="1:4">
      <c r="A70">
        <v>31</v>
      </c>
      <c r="B70" t="s">
        <v>33</v>
      </c>
    </row>
    <row r="71" spans="1:4">
      <c r="A71">
        <v>225</v>
      </c>
      <c r="B71" t="s">
        <v>27</v>
      </c>
      <c r="C71" t="s">
        <v>397</v>
      </c>
    </row>
    <row r="72" spans="1:4">
      <c r="A72">
        <v>83</v>
      </c>
      <c r="B72" t="s">
        <v>51</v>
      </c>
    </row>
    <row r="73" spans="1:4">
      <c r="A73">
        <v>76</v>
      </c>
      <c r="B73" t="s">
        <v>33</v>
      </c>
    </row>
    <row r="74" spans="1:4">
      <c r="A74">
        <v>84</v>
      </c>
      <c r="B74" t="s">
        <v>33</v>
      </c>
    </row>
    <row r="75" spans="1:4">
      <c r="A75">
        <v>28</v>
      </c>
      <c r="B75" t="s">
        <v>51</v>
      </c>
    </row>
    <row r="76" spans="1:4">
      <c r="A76">
        <v>225</v>
      </c>
      <c r="B76" t="s">
        <v>51</v>
      </c>
    </row>
    <row r="77" spans="1:4">
      <c r="A77">
        <v>44</v>
      </c>
      <c r="B77" t="s">
        <v>27</v>
      </c>
    </row>
    <row r="78" spans="1:4">
      <c r="A78">
        <v>137</v>
      </c>
      <c r="B78" t="s">
        <v>33</v>
      </c>
    </row>
    <row r="79" spans="1:4">
      <c r="A79">
        <v>25</v>
      </c>
      <c r="B79" t="s">
        <v>33</v>
      </c>
      <c r="C79" t="s">
        <v>33</v>
      </c>
      <c r="D79" t="s">
        <v>398</v>
      </c>
    </row>
    <row r="80" spans="1:4">
      <c r="A80">
        <v>57</v>
      </c>
      <c r="B80" t="s">
        <v>51</v>
      </c>
    </row>
    <row r="81" spans="1:4">
      <c r="A81">
        <v>133</v>
      </c>
      <c r="B81" t="s">
        <v>27</v>
      </c>
    </row>
    <row r="82" spans="1:4">
      <c r="A82">
        <v>264</v>
      </c>
      <c r="B82" t="s">
        <v>33</v>
      </c>
    </row>
    <row r="83" spans="1:4">
      <c r="A83">
        <v>169</v>
      </c>
      <c r="B83" t="s">
        <v>27</v>
      </c>
    </row>
    <row r="84" spans="1:4">
      <c r="A84">
        <v>99</v>
      </c>
      <c r="B84" t="s">
        <v>27</v>
      </c>
    </row>
    <row r="85" spans="1:4">
      <c r="A85">
        <v>195</v>
      </c>
      <c r="B85" t="s">
        <v>33</v>
      </c>
    </row>
    <row r="86" spans="1:4">
      <c r="A86">
        <v>75</v>
      </c>
      <c r="B86" t="s">
        <v>51</v>
      </c>
    </row>
    <row r="87" spans="1:4">
      <c r="A87">
        <v>21</v>
      </c>
      <c r="B87" t="s">
        <v>51</v>
      </c>
    </row>
    <row r="88" spans="1:4">
      <c r="A88">
        <v>288</v>
      </c>
      <c r="B88" t="s">
        <v>33</v>
      </c>
    </row>
    <row r="89" spans="1:4">
      <c r="A89">
        <v>248</v>
      </c>
      <c r="B89" t="s">
        <v>33</v>
      </c>
    </row>
    <row r="90" spans="1:4">
      <c r="A90">
        <v>49</v>
      </c>
      <c r="B90" t="s">
        <v>51</v>
      </c>
      <c r="C90" t="s">
        <v>397</v>
      </c>
    </row>
    <row r="91" spans="1:4">
      <c r="A91">
        <v>170</v>
      </c>
      <c r="B91" t="s">
        <v>33</v>
      </c>
    </row>
    <row r="92" spans="1:4">
      <c r="A92">
        <v>104</v>
      </c>
      <c r="B92" t="s">
        <v>33</v>
      </c>
      <c r="C92" t="s">
        <v>27</v>
      </c>
      <c r="D92" t="s">
        <v>397</v>
      </c>
    </row>
    <row r="93" spans="1:4">
      <c r="A93">
        <v>191</v>
      </c>
      <c r="B93" t="s">
        <v>27</v>
      </c>
      <c r="C93" t="s">
        <v>33</v>
      </c>
      <c r="D93" t="s">
        <v>398</v>
      </c>
    </row>
    <row r="94" spans="1:4">
      <c r="A94">
        <v>300</v>
      </c>
      <c r="B94" t="s">
        <v>33</v>
      </c>
    </row>
    <row r="95" spans="1:4">
      <c r="A95">
        <v>191</v>
      </c>
      <c r="B95" t="s">
        <v>33</v>
      </c>
    </row>
    <row r="96" spans="1:4">
      <c r="A96">
        <v>269</v>
      </c>
      <c r="B96" t="s">
        <v>33</v>
      </c>
    </row>
    <row r="97" spans="1:4">
      <c r="A97">
        <v>195</v>
      </c>
      <c r="B97" t="s">
        <v>33</v>
      </c>
    </row>
    <row r="98" spans="1:4">
      <c r="A98">
        <v>264</v>
      </c>
      <c r="B98" t="s">
        <v>33</v>
      </c>
    </row>
    <row r="99" spans="1:4">
      <c r="A99">
        <v>137</v>
      </c>
      <c r="B99" t="s">
        <v>51</v>
      </c>
    </row>
    <row r="100" spans="1:4">
      <c r="A100">
        <v>277</v>
      </c>
      <c r="B100" t="s">
        <v>27</v>
      </c>
    </row>
    <row r="101" spans="1:4">
      <c r="A101">
        <v>200</v>
      </c>
      <c r="B101" t="s">
        <v>51</v>
      </c>
      <c r="C101" t="s">
        <v>27</v>
      </c>
      <c r="D101" t="s">
        <v>397</v>
      </c>
    </row>
    <row r="102" spans="1:4">
      <c r="A102">
        <v>298</v>
      </c>
      <c r="B102" t="s">
        <v>27</v>
      </c>
    </row>
    <row r="103" spans="1:4">
      <c r="A103">
        <v>251</v>
      </c>
      <c r="B103" t="s">
        <v>51</v>
      </c>
    </row>
    <row r="104" spans="1:4">
      <c r="A104">
        <v>145</v>
      </c>
      <c r="B104" t="s">
        <v>33</v>
      </c>
      <c r="C104" t="s">
        <v>27</v>
      </c>
      <c r="D104" t="s">
        <v>397</v>
      </c>
    </row>
    <row r="105" spans="1:4">
      <c r="A105">
        <v>135</v>
      </c>
      <c r="B105" t="s">
        <v>27</v>
      </c>
    </row>
    <row r="106" spans="1:4">
      <c r="A106">
        <v>120</v>
      </c>
      <c r="B106" t="s">
        <v>51</v>
      </c>
    </row>
    <row r="107" spans="1:4">
      <c r="A107">
        <v>255</v>
      </c>
      <c r="B107" t="s">
        <v>51</v>
      </c>
    </row>
    <row r="108" spans="1:4">
      <c r="A108">
        <v>205</v>
      </c>
      <c r="B108" t="s">
        <v>33</v>
      </c>
    </row>
    <row r="109" spans="1:4">
      <c r="A109">
        <v>36</v>
      </c>
      <c r="B109" t="s">
        <v>27</v>
      </c>
      <c r="C109" t="s">
        <v>397</v>
      </c>
    </row>
    <row r="110" spans="1:4">
      <c r="A110">
        <v>254</v>
      </c>
      <c r="B110" t="s">
        <v>33</v>
      </c>
    </row>
    <row r="111" spans="1:4">
      <c r="A111">
        <v>10</v>
      </c>
      <c r="B111" t="s">
        <v>27</v>
      </c>
      <c r="C111" t="s">
        <v>33</v>
      </c>
      <c r="D111" t="s">
        <v>398</v>
      </c>
    </row>
    <row r="112" spans="1:4">
      <c r="A112">
        <v>131</v>
      </c>
      <c r="B112" t="s">
        <v>27</v>
      </c>
    </row>
    <row r="113" spans="1:3">
      <c r="A113">
        <v>88</v>
      </c>
      <c r="B113" t="s">
        <v>33</v>
      </c>
    </row>
    <row r="114" spans="1:3">
      <c r="A114">
        <v>266</v>
      </c>
      <c r="B114" t="s">
        <v>33</v>
      </c>
    </row>
    <row r="115" spans="1:3">
      <c r="A115">
        <v>22</v>
      </c>
      <c r="B115" t="s">
        <v>33</v>
      </c>
    </row>
    <row r="116" spans="1:3">
      <c r="A116">
        <v>211</v>
      </c>
      <c r="B116" t="s">
        <v>51</v>
      </c>
    </row>
    <row r="117" spans="1:3">
      <c r="A117">
        <v>11</v>
      </c>
      <c r="B117" t="s">
        <v>27</v>
      </c>
    </row>
    <row r="118" spans="1:3">
      <c r="A118">
        <v>49</v>
      </c>
      <c r="B118" t="s">
        <v>33</v>
      </c>
    </row>
    <row r="119" spans="1:3">
      <c r="A119">
        <v>15</v>
      </c>
      <c r="B119" t="s">
        <v>51</v>
      </c>
      <c r="C119" t="s">
        <v>397</v>
      </c>
    </row>
    <row r="120" spans="1:3">
      <c r="A120">
        <v>20</v>
      </c>
      <c r="B120" t="s">
        <v>27</v>
      </c>
    </row>
    <row r="121" spans="1:3">
      <c r="A121">
        <v>52</v>
      </c>
      <c r="B121" t="s">
        <v>27</v>
      </c>
    </row>
    <row r="122" spans="1:3">
      <c r="A122">
        <v>123</v>
      </c>
      <c r="B122" t="s">
        <v>33</v>
      </c>
    </row>
    <row r="123" spans="1:3">
      <c r="A123">
        <v>52</v>
      </c>
      <c r="B123" t="s">
        <v>33</v>
      </c>
    </row>
    <row r="124" spans="1:3">
      <c r="A124">
        <v>174</v>
      </c>
      <c r="B124" t="s">
        <v>33</v>
      </c>
    </row>
    <row r="125" spans="1:3">
      <c r="A125">
        <v>149</v>
      </c>
      <c r="B125" t="s">
        <v>51</v>
      </c>
    </row>
    <row r="126" spans="1:3">
      <c r="A126">
        <v>147</v>
      </c>
      <c r="B126" t="s">
        <v>33</v>
      </c>
    </row>
    <row r="127" spans="1:3">
      <c r="A127">
        <v>159</v>
      </c>
      <c r="B127" t="s">
        <v>33</v>
      </c>
    </row>
    <row r="128" spans="1:3">
      <c r="A128">
        <v>283</v>
      </c>
      <c r="B128" t="s">
        <v>27</v>
      </c>
    </row>
    <row r="129" spans="1:2">
      <c r="A129">
        <v>71</v>
      </c>
      <c r="B129" t="s">
        <v>33</v>
      </c>
    </row>
    <row r="130" spans="1:2">
      <c r="A130">
        <v>32</v>
      </c>
      <c r="B130" t="s">
        <v>51</v>
      </c>
    </row>
    <row r="131" spans="1:2">
      <c r="A131">
        <v>296</v>
      </c>
      <c r="B131" t="s">
        <v>33</v>
      </c>
    </row>
    <row r="132" spans="1:2">
      <c r="A132">
        <v>38</v>
      </c>
      <c r="B132" t="s">
        <v>51</v>
      </c>
    </row>
    <row r="133" spans="1:2">
      <c r="A133">
        <v>216</v>
      </c>
      <c r="B133" t="s">
        <v>27</v>
      </c>
    </row>
    <row r="134" spans="1:2">
      <c r="A134">
        <v>150</v>
      </c>
      <c r="B134" t="s">
        <v>51</v>
      </c>
    </row>
    <row r="135" spans="1:2">
      <c r="A135">
        <v>223</v>
      </c>
      <c r="B135" t="s">
        <v>33</v>
      </c>
    </row>
    <row r="136" spans="1:2">
      <c r="A136">
        <v>51</v>
      </c>
      <c r="B136" t="s">
        <v>51</v>
      </c>
    </row>
    <row r="137" spans="1:2">
      <c r="A137">
        <v>212</v>
      </c>
      <c r="B137" t="s">
        <v>33</v>
      </c>
    </row>
    <row r="138" spans="1:2">
      <c r="A138">
        <v>142</v>
      </c>
      <c r="B138" t="s">
        <v>51</v>
      </c>
    </row>
    <row r="139" spans="1:2">
      <c r="A139">
        <v>209</v>
      </c>
      <c r="B139" t="s">
        <v>27</v>
      </c>
    </row>
    <row r="140" spans="1:2">
      <c r="A140">
        <v>103</v>
      </c>
      <c r="B140" t="s">
        <v>27</v>
      </c>
    </row>
    <row r="141" spans="1:2">
      <c r="A141">
        <v>10</v>
      </c>
      <c r="B141" t="s">
        <v>27</v>
      </c>
    </row>
    <row r="142" spans="1:2">
      <c r="A142">
        <v>173</v>
      </c>
      <c r="B142" t="s">
        <v>27</v>
      </c>
    </row>
    <row r="143" spans="1:2">
      <c r="A143">
        <v>19</v>
      </c>
      <c r="B143" t="s">
        <v>51</v>
      </c>
    </row>
    <row r="144" spans="1:2">
      <c r="A144">
        <v>123</v>
      </c>
      <c r="B144" t="s">
        <v>51</v>
      </c>
    </row>
    <row r="145" spans="1:3">
      <c r="A145">
        <v>39</v>
      </c>
      <c r="B145" t="s">
        <v>33</v>
      </c>
    </row>
    <row r="146" spans="1:3">
      <c r="A146">
        <v>171</v>
      </c>
      <c r="B146" t="s">
        <v>27</v>
      </c>
      <c r="C146" t="s">
        <v>396</v>
      </c>
    </row>
    <row r="147" spans="1:3">
      <c r="A147">
        <v>177</v>
      </c>
      <c r="B147" t="s">
        <v>27</v>
      </c>
    </row>
    <row r="148" spans="1:3">
      <c r="A148">
        <v>30</v>
      </c>
      <c r="B148" t="s">
        <v>51</v>
      </c>
    </row>
    <row r="149" spans="1:3">
      <c r="A149">
        <v>87</v>
      </c>
      <c r="B149" t="s">
        <v>33</v>
      </c>
    </row>
    <row r="150" spans="1:3">
      <c r="A150">
        <v>187</v>
      </c>
      <c r="B150" t="s">
        <v>51</v>
      </c>
    </row>
    <row r="151" spans="1:3">
      <c r="A151">
        <v>240</v>
      </c>
      <c r="B151" t="s">
        <v>51</v>
      </c>
    </row>
    <row r="152" spans="1:3">
      <c r="A152">
        <v>122</v>
      </c>
      <c r="B152" t="s">
        <v>33</v>
      </c>
    </row>
    <row r="153" spans="1:3">
      <c r="A153">
        <v>282</v>
      </c>
      <c r="B153" t="s">
        <v>33</v>
      </c>
    </row>
    <row r="154" spans="1:3">
      <c r="A154">
        <v>39</v>
      </c>
      <c r="B154" t="s">
        <v>51</v>
      </c>
      <c r="C154" t="s">
        <v>396</v>
      </c>
    </row>
    <row r="155" spans="1:3">
      <c r="A155">
        <v>217</v>
      </c>
      <c r="B155" t="s">
        <v>51</v>
      </c>
    </row>
    <row r="156" spans="1:3">
      <c r="A156">
        <v>17</v>
      </c>
      <c r="B156" t="s">
        <v>51</v>
      </c>
    </row>
    <row r="157" spans="1:3">
      <c r="A157">
        <v>25</v>
      </c>
      <c r="B157" t="s">
        <v>27</v>
      </c>
    </row>
    <row r="158" spans="1:3">
      <c r="A158">
        <v>10</v>
      </c>
      <c r="B158" t="s">
        <v>33</v>
      </c>
    </row>
    <row r="159" spans="1:3">
      <c r="A159">
        <v>231</v>
      </c>
      <c r="B159" t="s">
        <v>27</v>
      </c>
    </row>
    <row r="160" spans="1:3">
      <c r="A160">
        <v>143</v>
      </c>
      <c r="B160" t="s">
        <v>51</v>
      </c>
    </row>
    <row r="161" spans="1:4">
      <c r="A161">
        <v>245</v>
      </c>
      <c r="B161" t="s">
        <v>27</v>
      </c>
    </row>
    <row r="162" spans="1:4">
      <c r="A162">
        <v>65</v>
      </c>
      <c r="B162" t="s">
        <v>51</v>
      </c>
    </row>
    <row r="163" spans="1:4">
      <c r="A163">
        <v>189</v>
      </c>
      <c r="B163" t="s">
        <v>51</v>
      </c>
    </row>
    <row r="164" spans="1:4">
      <c r="A164">
        <v>219</v>
      </c>
      <c r="B164" t="s">
        <v>33</v>
      </c>
    </row>
    <row r="165" spans="1:4">
      <c r="A165">
        <v>271</v>
      </c>
      <c r="B165" t="s">
        <v>51</v>
      </c>
    </row>
    <row r="166" spans="1:4">
      <c r="A166">
        <v>208</v>
      </c>
      <c r="B166" t="s">
        <v>51</v>
      </c>
      <c r="C166" t="s">
        <v>33</v>
      </c>
      <c r="D166" t="s">
        <v>398</v>
      </c>
    </row>
    <row r="167" spans="1:4">
      <c r="A167">
        <v>289</v>
      </c>
      <c r="B167" t="s">
        <v>33</v>
      </c>
    </row>
    <row r="168" spans="1:4">
      <c r="A168">
        <v>227</v>
      </c>
      <c r="B168" t="s">
        <v>27</v>
      </c>
    </row>
    <row r="169" spans="1:4">
      <c r="A169">
        <v>226</v>
      </c>
      <c r="B169" t="s">
        <v>51</v>
      </c>
    </row>
    <row r="170" spans="1:4">
      <c r="A170">
        <v>255</v>
      </c>
      <c r="B170" t="s">
        <v>27</v>
      </c>
    </row>
    <row r="171" spans="1:4">
      <c r="A171">
        <v>177</v>
      </c>
      <c r="B171" t="s">
        <v>33</v>
      </c>
    </row>
    <row r="172" spans="1:4">
      <c r="A172">
        <v>270</v>
      </c>
      <c r="B172" t="s">
        <v>33</v>
      </c>
    </row>
    <row r="173" spans="1:4">
      <c r="A173">
        <v>219</v>
      </c>
      <c r="B173" t="s">
        <v>27</v>
      </c>
    </row>
    <row r="174" spans="1:4">
      <c r="A174">
        <v>238</v>
      </c>
      <c r="B174" t="s">
        <v>27</v>
      </c>
      <c r="C174" t="s">
        <v>397</v>
      </c>
    </row>
    <row r="175" spans="1:4">
      <c r="A175">
        <v>277</v>
      </c>
      <c r="B175" t="s">
        <v>33</v>
      </c>
    </row>
    <row r="176" spans="1:4">
      <c r="A176">
        <v>83</v>
      </c>
      <c r="B176" t="s">
        <v>33</v>
      </c>
    </row>
    <row r="177" spans="1:4">
      <c r="A177">
        <v>102</v>
      </c>
      <c r="B177" t="s">
        <v>51</v>
      </c>
    </row>
    <row r="178" spans="1:4">
      <c r="A178">
        <v>85</v>
      </c>
      <c r="B178" t="s">
        <v>33</v>
      </c>
    </row>
    <row r="179" spans="1:4">
      <c r="A179">
        <v>87</v>
      </c>
      <c r="B179" t="s">
        <v>27</v>
      </c>
    </row>
    <row r="180" spans="1:4">
      <c r="A180">
        <v>113</v>
      </c>
      <c r="B180" t="s">
        <v>27</v>
      </c>
    </row>
    <row r="181" spans="1:4">
      <c r="A181">
        <v>241</v>
      </c>
      <c r="B181" t="s">
        <v>27</v>
      </c>
    </row>
    <row r="182" spans="1:4">
      <c r="A182">
        <v>213</v>
      </c>
      <c r="B182" t="s">
        <v>51</v>
      </c>
    </row>
    <row r="183" spans="1:4">
      <c r="A183">
        <v>32</v>
      </c>
      <c r="B183" t="s">
        <v>51</v>
      </c>
    </row>
    <row r="184" spans="1:4">
      <c r="A184">
        <v>60</v>
      </c>
      <c r="B184" t="s">
        <v>51</v>
      </c>
    </row>
    <row r="185" spans="1:4">
      <c r="A185">
        <v>44</v>
      </c>
      <c r="B185" t="s">
        <v>51</v>
      </c>
    </row>
    <row r="186" spans="1:4">
      <c r="A186">
        <v>194</v>
      </c>
      <c r="B186" t="s">
        <v>51</v>
      </c>
      <c r="C186" t="s">
        <v>397</v>
      </c>
      <c r="D186" t="s">
        <v>33</v>
      </c>
    </row>
    <row r="187" spans="1:4">
      <c r="A187">
        <v>57</v>
      </c>
      <c r="B187" t="s">
        <v>51</v>
      </c>
    </row>
    <row r="188" spans="1:4">
      <c r="A188">
        <v>224</v>
      </c>
      <c r="B188" t="s">
        <v>51</v>
      </c>
    </row>
    <row r="189" spans="1:4">
      <c r="A189">
        <v>123</v>
      </c>
      <c r="B189" t="s">
        <v>27</v>
      </c>
    </row>
    <row r="190" spans="1:4">
      <c r="A190">
        <v>118</v>
      </c>
      <c r="B190" t="s">
        <v>27</v>
      </c>
    </row>
    <row r="191" spans="1:4">
      <c r="A191">
        <v>186</v>
      </c>
      <c r="B191" t="s">
        <v>51</v>
      </c>
    </row>
    <row r="192" spans="1:4">
      <c r="A192">
        <v>112</v>
      </c>
      <c r="B192" t="s">
        <v>27</v>
      </c>
    </row>
    <row r="193" spans="1:4">
      <c r="A193">
        <v>174</v>
      </c>
      <c r="B193" t="s">
        <v>33</v>
      </c>
    </row>
    <row r="194" spans="1:4">
      <c r="A194">
        <v>25</v>
      </c>
      <c r="B194" t="s">
        <v>27</v>
      </c>
    </row>
    <row r="195" spans="1:4">
      <c r="A195">
        <v>236</v>
      </c>
      <c r="B195" t="s">
        <v>51</v>
      </c>
    </row>
    <row r="196" spans="1:4">
      <c r="A196">
        <v>251</v>
      </c>
      <c r="B196" t="s">
        <v>33</v>
      </c>
    </row>
    <row r="197" spans="1:4">
      <c r="A197">
        <v>282</v>
      </c>
      <c r="B197" t="s">
        <v>51</v>
      </c>
      <c r="C197" t="s">
        <v>27</v>
      </c>
      <c r="D197" t="s">
        <v>397</v>
      </c>
    </row>
    <row r="198" spans="1:4">
      <c r="A198">
        <v>199</v>
      </c>
      <c r="B198" t="s">
        <v>27</v>
      </c>
    </row>
    <row r="199" spans="1:4">
      <c r="A199">
        <v>235</v>
      </c>
      <c r="B199" t="s">
        <v>33</v>
      </c>
    </row>
    <row r="200" spans="1:4">
      <c r="A200">
        <v>70</v>
      </c>
      <c r="B200" t="s">
        <v>51</v>
      </c>
    </row>
    <row r="201" spans="1:4">
      <c r="A201">
        <v>299</v>
      </c>
      <c r="B201" t="s">
        <v>33</v>
      </c>
    </row>
    <row r="202" spans="1:4">
      <c r="A202">
        <v>217</v>
      </c>
      <c r="B202" t="s">
        <v>27</v>
      </c>
    </row>
    <row r="203" spans="1:4">
      <c r="A203">
        <v>233</v>
      </c>
      <c r="B203" t="s">
        <v>27</v>
      </c>
    </row>
    <row r="204" spans="1:4">
      <c r="A204">
        <v>65</v>
      </c>
      <c r="B204" t="s">
        <v>27</v>
      </c>
    </row>
    <row r="205" spans="1:4">
      <c r="A205">
        <v>129</v>
      </c>
      <c r="B205" t="s">
        <v>27</v>
      </c>
      <c r="C205" t="s">
        <v>396</v>
      </c>
    </row>
    <row r="206" spans="1:4">
      <c r="A206">
        <v>104</v>
      </c>
      <c r="B206" t="s">
        <v>51</v>
      </c>
    </row>
    <row r="207" spans="1:4">
      <c r="A207">
        <v>229</v>
      </c>
      <c r="B207" t="s">
        <v>51</v>
      </c>
    </row>
    <row r="208" spans="1:4">
      <c r="A208">
        <v>272</v>
      </c>
      <c r="B208" t="s">
        <v>33</v>
      </c>
    </row>
    <row r="209" spans="1:4">
      <c r="A209">
        <v>265</v>
      </c>
      <c r="B209" t="s">
        <v>51</v>
      </c>
    </row>
    <row r="210" spans="1:4">
      <c r="A210">
        <v>128</v>
      </c>
      <c r="B210" t="s">
        <v>33</v>
      </c>
    </row>
    <row r="211" spans="1:4">
      <c r="A211">
        <v>143</v>
      </c>
      <c r="B211" t="s">
        <v>27</v>
      </c>
    </row>
    <row r="212" spans="1:4">
      <c r="A212">
        <v>237</v>
      </c>
      <c r="B212" t="s">
        <v>27</v>
      </c>
    </row>
    <row r="213" spans="1:4">
      <c r="A213">
        <v>169</v>
      </c>
      <c r="B213" t="s">
        <v>27</v>
      </c>
      <c r="C213" t="s">
        <v>397</v>
      </c>
    </row>
    <row r="214" spans="1:4">
      <c r="A214">
        <v>230</v>
      </c>
      <c r="B214" t="s">
        <v>27</v>
      </c>
    </row>
    <row r="215" spans="1:4">
      <c r="A215">
        <v>10</v>
      </c>
      <c r="B215" t="s">
        <v>33</v>
      </c>
      <c r="C215" t="s">
        <v>396</v>
      </c>
    </row>
    <row r="216" spans="1:4">
      <c r="A216">
        <v>34</v>
      </c>
      <c r="B216" t="s">
        <v>27</v>
      </c>
    </row>
    <row r="217" spans="1:4">
      <c r="A217">
        <v>64</v>
      </c>
      <c r="B217" t="s">
        <v>51</v>
      </c>
    </row>
    <row r="218" spans="1:4">
      <c r="A218">
        <v>23</v>
      </c>
      <c r="B218" t="s">
        <v>27</v>
      </c>
    </row>
    <row r="219" spans="1:4">
      <c r="A219">
        <v>234</v>
      </c>
      <c r="B219" t="s">
        <v>51</v>
      </c>
    </row>
    <row r="220" spans="1:4">
      <c r="A220">
        <v>112</v>
      </c>
      <c r="B220" t="s">
        <v>33</v>
      </c>
    </row>
    <row r="221" spans="1:4">
      <c r="A221">
        <v>84</v>
      </c>
      <c r="B221" t="s">
        <v>33</v>
      </c>
      <c r="C221" t="s">
        <v>27</v>
      </c>
      <c r="D221" t="s">
        <v>397</v>
      </c>
    </row>
    <row r="222" spans="1:4">
      <c r="A222">
        <v>52</v>
      </c>
      <c r="B222" t="s">
        <v>51</v>
      </c>
    </row>
    <row r="223" spans="1:4">
      <c r="A223">
        <v>235</v>
      </c>
      <c r="B223" t="s">
        <v>51</v>
      </c>
      <c r="C223" t="s">
        <v>27</v>
      </c>
      <c r="D223" t="s">
        <v>397</v>
      </c>
    </row>
    <row r="224" spans="1:4">
      <c r="A224">
        <v>127</v>
      </c>
      <c r="B224" t="s">
        <v>51</v>
      </c>
    </row>
    <row r="225" spans="1:2">
      <c r="A225">
        <v>167</v>
      </c>
      <c r="B225" t="s">
        <v>51</v>
      </c>
    </row>
    <row r="226" spans="1:2">
      <c r="A226">
        <v>58</v>
      </c>
      <c r="B226" t="s">
        <v>33</v>
      </c>
    </row>
    <row r="227" spans="1:2">
      <c r="A227">
        <v>131</v>
      </c>
      <c r="B227" t="s">
        <v>27</v>
      </c>
    </row>
    <row r="228" spans="1:2">
      <c r="A228">
        <v>46</v>
      </c>
      <c r="B228" t="s">
        <v>51</v>
      </c>
    </row>
    <row r="229" spans="1:2">
      <c r="A229">
        <v>180</v>
      </c>
      <c r="B229" t="s">
        <v>33</v>
      </c>
    </row>
    <row r="230" spans="1:2">
      <c r="A230">
        <v>97</v>
      </c>
      <c r="B230" t="s">
        <v>27</v>
      </c>
    </row>
    <row r="231" spans="1:2">
      <c r="A231">
        <v>79</v>
      </c>
      <c r="B231" t="s">
        <v>51</v>
      </c>
    </row>
    <row r="232" spans="1:2">
      <c r="A232">
        <v>170</v>
      </c>
      <c r="B232" t="s">
        <v>27</v>
      </c>
    </row>
    <row r="233" spans="1:2">
      <c r="A233">
        <v>297</v>
      </c>
      <c r="B233" t="s">
        <v>51</v>
      </c>
    </row>
    <row r="234" spans="1:2">
      <c r="A234">
        <v>122</v>
      </c>
      <c r="B234" t="s">
        <v>27</v>
      </c>
    </row>
    <row r="235" spans="1:2">
      <c r="A235">
        <v>36</v>
      </c>
      <c r="B235" t="s">
        <v>33</v>
      </c>
    </row>
    <row r="236" spans="1:2">
      <c r="A236">
        <v>212</v>
      </c>
      <c r="B236" t="s">
        <v>27</v>
      </c>
    </row>
    <row r="237" spans="1:2">
      <c r="A237">
        <v>256</v>
      </c>
      <c r="B237" t="s">
        <v>27</v>
      </c>
    </row>
    <row r="238" spans="1:2">
      <c r="A238">
        <v>89</v>
      </c>
      <c r="B238" t="s">
        <v>33</v>
      </c>
    </row>
    <row r="239" spans="1:2">
      <c r="A239">
        <v>205</v>
      </c>
      <c r="B239" t="s">
        <v>51</v>
      </c>
    </row>
    <row r="240" spans="1:2">
      <c r="A240">
        <v>210</v>
      </c>
      <c r="B240" t="s">
        <v>33</v>
      </c>
    </row>
    <row r="241" spans="1:2">
      <c r="A241">
        <v>21</v>
      </c>
      <c r="B241" t="s">
        <v>51</v>
      </c>
    </row>
    <row r="242" spans="1:2">
      <c r="A242">
        <v>275</v>
      </c>
      <c r="B242" t="s">
        <v>27</v>
      </c>
    </row>
    <row r="243" spans="1:2">
      <c r="A243">
        <v>275</v>
      </c>
      <c r="B243" t="s">
        <v>33</v>
      </c>
    </row>
    <row r="244" spans="1:2">
      <c r="A244">
        <v>230</v>
      </c>
      <c r="B244" t="s">
        <v>51</v>
      </c>
    </row>
    <row r="245" spans="1:2">
      <c r="A245">
        <v>73</v>
      </c>
      <c r="B245" t="s">
        <v>33</v>
      </c>
    </row>
    <row r="246" spans="1:2">
      <c r="A246">
        <v>228</v>
      </c>
      <c r="B246" t="s">
        <v>51</v>
      </c>
    </row>
    <row r="247" spans="1:2">
      <c r="A247">
        <v>47</v>
      </c>
      <c r="B247" t="s">
        <v>33</v>
      </c>
    </row>
    <row r="248" spans="1:2">
      <c r="A248">
        <v>158</v>
      </c>
      <c r="B248" t="s">
        <v>27</v>
      </c>
    </row>
    <row r="249" spans="1:2">
      <c r="A249">
        <v>176</v>
      </c>
      <c r="B249" t="s">
        <v>33</v>
      </c>
    </row>
    <row r="250" spans="1:2">
      <c r="A250">
        <v>137</v>
      </c>
      <c r="B250" t="s">
        <v>27</v>
      </c>
    </row>
    <row r="251" spans="1:2">
      <c r="A251">
        <v>172</v>
      </c>
      <c r="B251" t="s">
        <v>33</v>
      </c>
    </row>
    <row r="252" spans="1:2">
      <c r="A252">
        <v>130</v>
      </c>
      <c r="B252" t="s">
        <v>33</v>
      </c>
    </row>
    <row r="253" spans="1:2">
      <c r="A253">
        <v>63</v>
      </c>
      <c r="B253" t="s">
        <v>27</v>
      </c>
    </row>
    <row r="254" spans="1:2">
      <c r="A254">
        <v>195</v>
      </c>
      <c r="B254" t="s">
        <v>33</v>
      </c>
    </row>
    <row r="255" spans="1:2">
      <c r="A255">
        <v>197</v>
      </c>
      <c r="B255" t="s">
        <v>51</v>
      </c>
    </row>
    <row r="256" spans="1:2">
      <c r="A256">
        <v>277</v>
      </c>
      <c r="B256" t="s">
        <v>51</v>
      </c>
    </row>
    <row r="257" spans="1:3">
      <c r="A257">
        <v>221</v>
      </c>
      <c r="B257" t="s">
        <v>51</v>
      </c>
    </row>
    <row r="258" spans="1:3">
      <c r="A258">
        <v>200</v>
      </c>
      <c r="B258" t="s">
        <v>33</v>
      </c>
      <c r="C258" t="s">
        <v>397</v>
      </c>
    </row>
    <row r="259" spans="1:3">
      <c r="A259">
        <v>17</v>
      </c>
      <c r="B259" t="s">
        <v>51</v>
      </c>
    </row>
    <row r="260" spans="1:3">
      <c r="A260">
        <v>137</v>
      </c>
      <c r="B260" t="s">
        <v>27</v>
      </c>
    </row>
    <row r="261" spans="1:3">
      <c r="A261">
        <v>241</v>
      </c>
      <c r="B261" t="s">
        <v>33</v>
      </c>
    </row>
    <row r="262" spans="1:3">
      <c r="A262">
        <v>45</v>
      </c>
      <c r="B262" t="s">
        <v>27</v>
      </c>
    </row>
    <row r="263" spans="1:3">
      <c r="A263">
        <v>132</v>
      </c>
      <c r="B263" t="s">
        <v>27</v>
      </c>
    </row>
    <row r="264" spans="1:3">
      <c r="A264">
        <v>240</v>
      </c>
      <c r="B264" t="s">
        <v>51</v>
      </c>
    </row>
    <row r="265" spans="1:3">
      <c r="A265">
        <v>91</v>
      </c>
      <c r="B265" t="s">
        <v>33</v>
      </c>
    </row>
    <row r="266" spans="1:3">
      <c r="A266">
        <v>157</v>
      </c>
      <c r="B266" t="s">
        <v>33</v>
      </c>
    </row>
    <row r="267" spans="1:3">
      <c r="A267">
        <v>160</v>
      </c>
      <c r="B267" t="s">
        <v>51</v>
      </c>
    </row>
    <row r="268" spans="1:3">
      <c r="A268">
        <v>239</v>
      </c>
      <c r="B268" t="s">
        <v>33</v>
      </c>
    </row>
    <row r="269" spans="1:3">
      <c r="A269">
        <v>24</v>
      </c>
      <c r="B269" t="s">
        <v>33</v>
      </c>
    </row>
    <row r="270" spans="1:3">
      <c r="A270">
        <v>238</v>
      </c>
      <c r="B270" t="s">
        <v>51</v>
      </c>
    </row>
    <row r="271" spans="1:3">
      <c r="A271">
        <v>102</v>
      </c>
      <c r="B271" t="s">
        <v>51</v>
      </c>
    </row>
    <row r="272" spans="1:3">
      <c r="A272">
        <v>41</v>
      </c>
      <c r="B272" t="s">
        <v>33</v>
      </c>
    </row>
    <row r="273" spans="1:2">
      <c r="A273">
        <v>121</v>
      </c>
      <c r="B273" t="s">
        <v>27</v>
      </c>
    </row>
    <row r="274" spans="1:2">
      <c r="A274">
        <v>270</v>
      </c>
      <c r="B274" t="s">
        <v>27</v>
      </c>
    </row>
    <row r="275" spans="1:2">
      <c r="A275">
        <v>93</v>
      </c>
      <c r="B275" t="s">
        <v>27</v>
      </c>
    </row>
    <row r="276" spans="1:2">
      <c r="A276">
        <v>63</v>
      </c>
      <c r="B276" t="s">
        <v>51</v>
      </c>
    </row>
    <row r="277" spans="1:2">
      <c r="A277">
        <v>212</v>
      </c>
      <c r="B277" t="s">
        <v>33</v>
      </c>
    </row>
    <row r="278" spans="1:2">
      <c r="A278">
        <v>20</v>
      </c>
      <c r="B278" t="s">
        <v>51</v>
      </c>
    </row>
    <row r="279" spans="1:2">
      <c r="A279">
        <v>150</v>
      </c>
      <c r="B279" t="s">
        <v>33</v>
      </c>
    </row>
    <row r="280" spans="1:2">
      <c r="A280">
        <v>282</v>
      </c>
      <c r="B280" t="s">
        <v>27</v>
      </c>
    </row>
    <row r="281" spans="1:2">
      <c r="A281">
        <v>208</v>
      </c>
      <c r="B281" t="s">
        <v>51</v>
      </c>
    </row>
    <row r="282" spans="1:2">
      <c r="A282">
        <v>184</v>
      </c>
      <c r="B282" t="s">
        <v>33</v>
      </c>
    </row>
    <row r="283" spans="1:2">
      <c r="A283">
        <v>198</v>
      </c>
      <c r="B283" t="s">
        <v>51</v>
      </c>
    </row>
    <row r="284" spans="1:2">
      <c r="A284">
        <v>82</v>
      </c>
      <c r="B284" t="s">
        <v>33</v>
      </c>
    </row>
    <row r="285" spans="1:2">
      <c r="A285">
        <v>117</v>
      </c>
      <c r="B285" t="s">
        <v>51</v>
      </c>
    </row>
    <row r="286" spans="1:2">
      <c r="A286">
        <v>64</v>
      </c>
      <c r="B286" t="s">
        <v>51</v>
      </c>
    </row>
    <row r="287" spans="1:2">
      <c r="A287">
        <v>164</v>
      </c>
      <c r="B287" t="s">
        <v>27</v>
      </c>
    </row>
    <row r="288" spans="1:2">
      <c r="A288">
        <v>185</v>
      </c>
      <c r="B288" t="s">
        <v>51</v>
      </c>
    </row>
    <row r="289" spans="1:3">
      <c r="A289">
        <v>19</v>
      </c>
      <c r="B289" t="s">
        <v>33</v>
      </c>
    </row>
    <row r="290" spans="1:3">
      <c r="A290">
        <v>223</v>
      </c>
      <c r="B290" t="s">
        <v>33</v>
      </c>
    </row>
    <row r="291" spans="1:3">
      <c r="A291">
        <v>11</v>
      </c>
      <c r="B291" t="s">
        <v>33</v>
      </c>
      <c r="C291" t="s">
        <v>398</v>
      </c>
    </row>
    <row r="292" spans="1:3">
      <c r="A292">
        <v>282</v>
      </c>
      <c r="B292" t="s">
        <v>51</v>
      </c>
    </row>
    <row r="293" spans="1:3">
      <c r="A293">
        <v>43</v>
      </c>
      <c r="B293" t="s">
        <v>27</v>
      </c>
    </row>
    <row r="294" spans="1:3">
      <c r="A294">
        <v>287</v>
      </c>
      <c r="B294" t="s">
        <v>51</v>
      </c>
    </row>
    <row r="295" spans="1:3">
      <c r="A295">
        <v>117</v>
      </c>
      <c r="B295" t="s">
        <v>27</v>
      </c>
    </row>
    <row r="296" spans="1:3">
      <c r="A296">
        <v>293</v>
      </c>
      <c r="B296" t="s">
        <v>27</v>
      </c>
    </row>
    <row r="297" spans="1:3">
      <c r="A297">
        <v>148</v>
      </c>
      <c r="B297" t="s">
        <v>27</v>
      </c>
    </row>
    <row r="298" spans="1:3">
      <c r="A298">
        <v>154</v>
      </c>
      <c r="B298" t="s">
        <v>51</v>
      </c>
    </row>
    <row r="299" spans="1:3">
      <c r="A299">
        <v>238</v>
      </c>
      <c r="B299" t="s">
        <v>27</v>
      </c>
    </row>
    <row r="300" spans="1:3">
      <c r="A300">
        <v>201</v>
      </c>
      <c r="B300" t="s">
        <v>33</v>
      </c>
    </row>
    <row r="301" spans="1:3">
      <c r="A301">
        <v>262</v>
      </c>
      <c r="B301" t="s">
        <v>27</v>
      </c>
    </row>
    <row r="302" spans="1:3">
      <c r="A302">
        <v>12</v>
      </c>
      <c r="B302" t="s">
        <v>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953C-D18E-4666-8C38-3EC4BBA92289}">
  <dimension ref="A1:B7"/>
  <sheetViews>
    <sheetView workbookViewId="0"/>
  </sheetViews>
  <sheetFormatPr defaultRowHeight="14.4"/>
  <cols>
    <col min="1" max="1" width="14.796875" bestFit="1" customWidth="1"/>
    <col min="2" max="2" width="15.296875" bestFit="1" customWidth="1"/>
  </cols>
  <sheetData>
    <row r="1" spans="1:2">
      <c r="A1" s="4" t="s">
        <v>425</v>
      </c>
      <c r="B1" t="s">
        <v>426</v>
      </c>
    </row>
    <row r="3" spans="1:2">
      <c r="A3" s="2" t="s">
        <v>371</v>
      </c>
      <c r="B3" t="s">
        <v>399</v>
      </c>
    </row>
    <row r="4" spans="1:2">
      <c r="A4" s="3" t="s">
        <v>27</v>
      </c>
      <c r="B4">
        <v>157.02000000000001</v>
      </c>
    </row>
    <row r="5" spans="1:2">
      <c r="A5" s="3" t="s">
        <v>33</v>
      </c>
      <c r="B5">
        <v>152.86597938144331</v>
      </c>
    </row>
    <row r="6" spans="1:2">
      <c r="A6" s="3" t="s">
        <v>51</v>
      </c>
      <c r="B6">
        <v>144.03883495145632</v>
      </c>
    </row>
    <row r="7" spans="1:2">
      <c r="A7" s="3" t="s">
        <v>372</v>
      </c>
      <c r="B7">
        <v>151.22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ADE1-4331-4FD6-B24B-768F927C6C1E}">
  <dimension ref="A1:E49"/>
  <sheetViews>
    <sheetView tabSelected="1" topLeftCell="A43" workbookViewId="0">
      <selection activeCell="M16" sqref="M16"/>
    </sheetView>
  </sheetViews>
  <sheetFormatPr defaultRowHeight="14.4"/>
  <sheetData>
    <row r="1" spans="1:5">
      <c r="A1" t="s">
        <v>404</v>
      </c>
    </row>
    <row r="3" spans="1:5">
      <c r="A3" t="s">
        <v>405</v>
      </c>
    </row>
    <row r="4" spans="1:5">
      <c r="A4" t="s">
        <v>406</v>
      </c>
      <c r="B4" t="s">
        <v>407</v>
      </c>
      <c r="C4" t="s">
        <v>408</v>
      </c>
      <c r="D4" t="s">
        <v>409</v>
      </c>
      <c r="E4" t="s">
        <v>410</v>
      </c>
    </row>
    <row r="6" spans="1:5">
      <c r="A6" t="s">
        <v>411</v>
      </c>
    </row>
    <row r="7" spans="1:5">
      <c r="A7" t="s">
        <v>412</v>
      </c>
      <c r="B7" t="s">
        <v>413</v>
      </c>
    </row>
    <row r="9" spans="1:5">
      <c r="A9" t="s">
        <v>414</v>
      </c>
    </row>
    <row r="10" spans="1:5">
      <c r="A10" t="s">
        <v>415</v>
      </c>
      <c r="B10" t="s">
        <v>416</v>
      </c>
      <c r="C10" t="s">
        <v>417</v>
      </c>
    </row>
    <row r="12" spans="1:5">
      <c r="A12" t="s">
        <v>418</v>
      </c>
    </row>
    <row r="13" spans="1:5">
      <c r="A13" t="s">
        <v>419</v>
      </c>
      <c r="B13" t="s">
        <v>420</v>
      </c>
    </row>
    <row r="15" spans="1:5">
      <c r="A15" t="s">
        <v>421</v>
      </c>
    </row>
    <row r="16" spans="1:5">
      <c r="A16" t="s">
        <v>422</v>
      </c>
      <c r="B16" t="s">
        <v>423</v>
      </c>
      <c r="C16" t="s">
        <v>424</v>
      </c>
    </row>
    <row r="19" spans="1:1">
      <c r="A19" t="s">
        <v>377</v>
      </c>
    </row>
    <row r="20" spans="1:1">
      <c r="A20" t="s">
        <v>375</v>
      </c>
    </row>
    <row r="22" spans="1:1">
      <c r="A22" t="s">
        <v>387</v>
      </c>
    </row>
    <row r="23" spans="1:1">
      <c r="A23" t="s">
        <v>374</v>
      </c>
    </row>
    <row r="25" spans="1:1">
      <c r="A25" t="s">
        <v>386</v>
      </c>
    </row>
    <row r="26" spans="1:1">
      <c r="A26" t="s">
        <v>388</v>
      </c>
    </row>
    <row r="28" spans="1:1">
      <c r="A28" t="s">
        <v>378</v>
      </c>
    </row>
    <row r="29" spans="1:1">
      <c r="A29" t="s">
        <v>379</v>
      </c>
    </row>
    <row r="31" spans="1:1">
      <c r="A31" t="s">
        <v>380</v>
      </c>
    </row>
    <row r="32" spans="1:1">
      <c r="A32" t="s">
        <v>381</v>
      </c>
    </row>
    <row r="34" spans="1:1">
      <c r="A34" t="s">
        <v>382</v>
      </c>
    </row>
    <row r="35" spans="1:1">
      <c r="A35" t="s">
        <v>383</v>
      </c>
    </row>
    <row r="38" spans="1:1">
      <c r="A38" s="4" t="s">
        <v>385</v>
      </c>
    </row>
    <row r="39" spans="1:1">
      <c r="A39" t="s">
        <v>384</v>
      </c>
    </row>
    <row r="41" spans="1:1">
      <c r="A41" t="s">
        <v>400</v>
      </c>
    </row>
    <row r="42" spans="1:1">
      <c r="A42" t="s">
        <v>401</v>
      </c>
    </row>
    <row r="44" spans="1:1">
      <c r="A44" t="s">
        <v>402</v>
      </c>
    </row>
    <row r="48" spans="1:1">
      <c r="A48" s="4" t="s">
        <v>385</v>
      </c>
    </row>
    <row r="49" spans="1:1">
      <c r="A49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Cleaned_Posts_Data</vt:lpstr>
      <vt:lpstr>Engagement_Calculations</vt:lpstr>
      <vt:lpstr>Pivot_Analysis</vt:lpstr>
      <vt:lpstr>Pivot_Analysis_2</vt:lpstr>
      <vt:lpstr>Hashtag click</vt:lpstr>
      <vt:lpstr>Pivot_Analysis_3</vt:lpstr>
      <vt:lpstr>Insights_Task2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Sriharsha Reddy</dc:creator>
  <cp:lastModifiedBy>Mani DM</cp:lastModifiedBy>
  <dcterms:created xsi:type="dcterms:W3CDTF">2026-01-04T14:44:35Z</dcterms:created>
  <dcterms:modified xsi:type="dcterms:W3CDTF">2026-01-12T09:00:07Z</dcterms:modified>
</cp:coreProperties>
</file>