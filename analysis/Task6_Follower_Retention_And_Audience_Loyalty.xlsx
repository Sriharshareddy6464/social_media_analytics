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socialmedia_project\manikantaduddeda\"/>
    </mc:Choice>
  </mc:AlternateContent>
  <xr:revisionPtr revIDLastSave="0" documentId="13_ncr:1_{1F2CF03A-6445-49BA-B59D-24844410AE91}" xr6:coauthVersionLast="47" xr6:coauthVersionMax="47" xr10:uidLastSave="{00000000-0000-0000-0000-000000000000}"/>
  <bookViews>
    <workbookView xWindow="-100" yWindow="-100" windowWidth="21467" windowHeight="11443" xr2:uid="{FE75E157-A542-494E-BF0F-045C450F12CB}"/>
  </bookViews>
  <sheets>
    <sheet name="Raw_Engagement" sheetId="1" r:id="rId1"/>
    <sheet name="Cleaned_Engagement" sheetId="2" r:id="rId2"/>
    <sheet name="Weekly_Growth_Pivot" sheetId="5" r:id="rId3"/>
    <sheet name="Moving_Average_Analysis" sheetId="4" r:id="rId4"/>
    <sheet name="Insight_Task6" sheetId="6" r:id="rId5"/>
  </sheet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2" l="1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4" i="4"/>
  <c r="H84" i="2"/>
  <c r="H137" i="2"/>
  <c r="H71" i="2"/>
  <c r="H126" i="2"/>
  <c r="H56" i="2"/>
  <c r="H164" i="2"/>
  <c r="H85" i="2"/>
  <c r="H97" i="2"/>
  <c r="H43" i="2"/>
  <c r="H55" i="2"/>
  <c r="H146" i="2"/>
  <c r="H116" i="2"/>
  <c r="H17" i="2"/>
  <c r="H104" i="2"/>
  <c r="H190" i="2"/>
  <c r="H199" i="2"/>
  <c r="H176" i="2"/>
  <c r="H48" i="2"/>
  <c r="H173" i="2"/>
  <c r="H16" i="2"/>
  <c r="H152" i="2"/>
  <c r="H123" i="2"/>
  <c r="H127" i="2"/>
  <c r="H4" i="2"/>
  <c r="H193" i="2"/>
  <c r="H135" i="2"/>
  <c r="H166" i="2"/>
  <c r="H167" i="2"/>
  <c r="H87" i="2"/>
  <c r="H53" i="2"/>
  <c r="H150" i="2"/>
  <c r="H124" i="2"/>
  <c r="H200" i="2"/>
  <c r="H33" i="2"/>
  <c r="H129" i="2"/>
  <c r="H143" i="2"/>
  <c r="H197" i="2"/>
  <c r="H148" i="2"/>
  <c r="H149" i="2"/>
  <c r="H52" i="2"/>
  <c r="H50" i="2"/>
  <c r="H179" i="2"/>
  <c r="H78" i="2"/>
  <c r="H174" i="2"/>
  <c r="H73" i="2"/>
  <c r="H18" i="2"/>
  <c r="H163" i="2"/>
  <c r="H24" i="2"/>
  <c r="H180" i="2"/>
  <c r="H59" i="2"/>
  <c r="H182" i="2"/>
  <c r="H57" i="2"/>
  <c r="H75" i="2"/>
  <c r="H162" i="2"/>
  <c r="H147" i="2"/>
  <c r="H28" i="2"/>
  <c r="H39" i="2"/>
  <c r="H159" i="2"/>
  <c r="H70" i="2"/>
  <c r="H141" i="2"/>
  <c r="H171" i="2"/>
  <c r="H67" i="2"/>
  <c r="H185" i="2"/>
  <c r="H112" i="2"/>
  <c r="H183" i="2"/>
  <c r="H14" i="2"/>
  <c r="H83" i="2"/>
  <c r="H80" i="2"/>
  <c r="H196" i="2"/>
  <c r="H119" i="2"/>
  <c r="H11" i="2"/>
  <c r="H3" i="2"/>
  <c r="H19" i="2"/>
  <c r="H170" i="2"/>
  <c r="H169" i="2"/>
  <c r="H61" i="2"/>
  <c r="H156" i="2"/>
  <c r="H184" i="2"/>
  <c r="H142" i="2"/>
  <c r="H158" i="2"/>
  <c r="H134" i="2"/>
  <c r="H115" i="2"/>
  <c r="H34" i="2"/>
  <c r="H120" i="2"/>
  <c r="H140" i="2"/>
  <c r="H181" i="2"/>
  <c r="H20" i="2"/>
  <c r="H41" i="2"/>
  <c r="H125" i="2"/>
  <c r="H25" i="2"/>
  <c r="H77" i="2"/>
  <c r="H93" i="2"/>
  <c r="H188" i="2"/>
  <c r="H66" i="2"/>
  <c r="H144" i="2"/>
  <c r="H187" i="2"/>
  <c r="H175" i="2"/>
  <c r="H133" i="2"/>
  <c r="H177" i="2"/>
  <c r="H13" i="2"/>
  <c r="H51" i="2"/>
  <c r="H172" i="2"/>
  <c r="H99" i="2"/>
  <c r="H23" i="2"/>
  <c r="H12" i="2"/>
  <c r="H65" i="2"/>
  <c r="H155" i="2"/>
  <c r="H68" i="2"/>
  <c r="H46" i="2"/>
  <c r="H7" i="2"/>
  <c r="H121" i="2"/>
  <c r="H38" i="2"/>
  <c r="H44" i="2"/>
  <c r="H47" i="2"/>
  <c r="H100" i="2"/>
  <c r="H110" i="2"/>
  <c r="H107" i="2"/>
  <c r="H90" i="2"/>
  <c r="H27" i="2"/>
  <c r="H6" i="2"/>
  <c r="H5" i="2"/>
  <c r="H31" i="2"/>
  <c r="H36" i="2"/>
  <c r="H92" i="2"/>
  <c r="H117" i="2"/>
  <c r="H63" i="2"/>
  <c r="H103" i="2"/>
  <c r="H9" i="2"/>
  <c r="H153" i="2"/>
  <c r="H191" i="2"/>
  <c r="H94" i="2"/>
  <c r="H29" i="2"/>
  <c r="H136" i="2"/>
  <c r="H98" i="2"/>
  <c r="H108" i="2"/>
  <c r="H194" i="2"/>
  <c r="H96" i="2"/>
  <c r="H40" i="2"/>
  <c r="H60" i="2"/>
  <c r="H72" i="2"/>
  <c r="H106" i="2"/>
  <c r="H122" i="2"/>
  <c r="H198" i="2"/>
  <c r="H8" i="2"/>
  <c r="H89" i="2"/>
  <c r="H62" i="2"/>
  <c r="H37" i="2"/>
  <c r="H86" i="2"/>
  <c r="H26" i="2"/>
  <c r="H186" i="2"/>
  <c r="H64" i="2"/>
  <c r="H45" i="2"/>
  <c r="H10" i="2"/>
  <c r="H109" i="2"/>
  <c r="H81" i="2"/>
  <c r="H54" i="2"/>
  <c r="H189" i="2"/>
  <c r="H95" i="2"/>
  <c r="H151" i="2"/>
  <c r="H160" i="2"/>
  <c r="H91" i="2"/>
  <c r="H49" i="2"/>
  <c r="H58" i="2"/>
  <c r="H111" i="2"/>
  <c r="H69" i="2"/>
  <c r="H102" i="2"/>
  <c r="H42" i="2"/>
  <c r="H131" i="2"/>
  <c r="H130" i="2"/>
  <c r="H154" i="2"/>
  <c r="H139" i="2"/>
  <c r="H113" i="2"/>
  <c r="H128" i="2"/>
  <c r="H15" i="2"/>
  <c r="H35" i="2"/>
  <c r="H165" i="2"/>
  <c r="H79" i="2"/>
  <c r="H82" i="2"/>
  <c r="H161" i="2"/>
  <c r="H192" i="2"/>
  <c r="H195" i="2"/>
  <c r="H178" i="2"/>
  <c r="H168" i="2"/>
  <c r="H118" i="2"/>
  <c r="H76" i="2"/>
  <c r="H105" i="2"/>
  <c r="H22" i="2"/>
  <c r="H30" i="2"/>
  <c r="H132" i="2"/>
  <c r="H88" i="2"/>
  <c r="H114" i="2"/>
  <c r="H2" i="2"/>
  <c r="H145" i="2"/>
  <c r="H32" i="2"/>
  <c r="H101" i="2"/>
  <c r="H21" i="2"/>
  <c r="H138" i="2"/>
  <c r="H157" i="2"/>
  <c r="H201" i="2"/>
  <c r="H74" i="2"/>
</calcChain>
</file>

<file path=xl/sharedStrings.xml><?xml version="1.0" encoding="utf-8"?>
<sst xmlns="http://schemas.openxmlformats.org/spreadsheetml/2006/main" count="442" uniqueCount="32">
  <si>
    <t>Week_Start_Date</t>
  </si>
  <si>
    <t>Platform</t>
  </si>
  <si>
    <t>New_Followers</t>
  </si>
  <si>
    <t>Unfollows</t>
  </si>
  <si>
    <t>Total_Followers</t>
  </si>
  <si>
    <t>Engagement_Rate</t>
  </si>
  <si>
    <t>Ad_Spend</t>
  </si>
  <si>
    <t>Instagram</t>
  </si>
  <si>
    <t>Facebook</t>
  </si>
  <si>
    <t>Twitter</t>
  </si>
  <si>
    <t>YouTube</t>
  </si>
  <si>
    <t>Net_Follower_Growth</t>
  </si>
  <si>
    <t>Row Labels</t>
  </si>
  <si>
    <t>Grand Total</t>
  </si>
  <si>
    <t>Column Labels</t>
  </si>
  <si>
    <t>Sum of Net_Follower_Growth</t>
  </si>
  <si>
    <t>Jun</t>
  </si>
  <si>
    <t>Jul</t>
  </si>
  <si>
    <t>Aug</t>
  </si>
  <si>
    <t>Sep</t>
  </si>
  <si>
    <t>Oct</t>
  </si>
  <si>
    <t>Nov</t>
  </si>
  <si>
    <t>Dec</t>
  </si>
  <si>
    <t>3_Week_MA</t>
  </si>
  <si>
    <t>Weekly follower growth trends by platform</t>
  </si>
  <si>
    <t>Correlation</t>
  </si>
  <si>
    <t>Weekly follower growth is highly volatile with frequent spikes and drops, showing unstable retention patterns.</t>
  </si>
  <si>
    <t>The highest net follower gain occurred in one peak week, indicating a campaign or viral content impact rather than steady growth.</t>
  </si>
  <si>
    <t>The 3-week moving average smooths the noise and shows an overall stable upward trend.</t>
  </si>
  <si>
    <t>Instagram demonstrates stronger and more consistent follower growth compared to other platforms.</t>
  </si>
  <si>
    <t>The correlation between ad spend and follower growth is very weak (around 0.08), meaning ads are not driving growth effectively.</t>
  </si>
  <si>
    <t>Follower growth is mainly organic and content-driven rather than paid-driven.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</si>
</sst>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14" fontId="0" fillId="0" borderId="0" xfId="0" applyNumberFormat="1"/>
    <xf numFmtId="14" fontId="0" fillId="0" borderId="3" xfId="0" applyNumberFormat="1" applyBorder="1" applyAlignment="1">
      <alignment wrapText="1"/>
    </xf>
    <xf numFmtId="0" fontId="0" fillId="0" borderId="3" xfId="0" applyBorder="1" applyAlignment="1">
      <alignment wrapText="1"/>
    </xf>
    <xf numFmtId="0" fontId="0" fillId="0" borderId="3" xfId="0" applyBorder="1" applyAlignment="1">
      <alignment horizontal="right" wrapText="1"/>
    </xf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"/>
        <name val="Calibri"/>
        <family val="2"/>
        <scheme val="minor"/>
      </font>
    </dxf>
    <dxf>
      <numFmt numFmtId="164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Cleaned_Engagement!$H$1</c:f>
              <c:strCache>
                <c:ptCount val="1"/>
                <c:pt idx="0">
                  <c:v>Net_Follower_Growth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Cleaned_Engagement!$G$2:$G$202</c:f>
              <c:numCache>
                <c:formatCode>General</c:formatCode>
                <c:ptCount val="201"/>
                <c:pt idx="0">
                  <c:v>33381</c:v>
                </c:pt>
                <c:pt idx="1">
                  <c:v>41215</c:v>
                </c:pt>
                <c:pt idx="2">
                  <c:v>10740</c:v>
                </c:pt>
                <c:pt idx="3">
                  <c:v>25140</c:v>
                </c:pt>
                <c:pt idx="4">
                  <c:v>4313</c:v>
                </c:pt>
                <c:pt idx="5">
                  <c:v>20861</c:v>
                </c:pt>
                <c:pt idx="6">
                  <c:v>3314</c:v>
                </c:pt>
                <c:pt idx="7">
                  <c:v>14548</c:v>
                </c:pt>
                <c:pt idx="8">
                  <c:v>22713</c:v>
                </c:pt>
                <c:pt idx="9">
                  <c:v>36851</c:v>
                </c:pt>
                <c:pt idx="10">
                  <c:v>26103</c:v>
                </c:pt>
                <c:pt idx="11">
                  <c:v>1810</c:v>
                </c:pt>
                <c:pt idx="12">
                  <c:v>24018</c:v>
                </c:pt>
                <c:pt idx="13">
                  <c:v>11805</c:v>
                </c:pt>
                <c:pt idx="14">
                  <c:v>22728</c:v>
                </c:pt>
                <c:pt idx="15">
                  <c:v>30635</c:v>
                </c:pt>
                <c:pt idx="16">
                  <c:v>22206</c:v>
                </c:pt>
                <c:pt idx="17">
                  <c:v>43836</c:v>
                </c:pt>
                <c:pt idx="18">
                  <c:v>46643</c:v>
                </c:pt>
                <c:pt idx="19">
                  <c:v>20042</c:v>
                </c:pt>
                <c:pt idx="20">
                  <c:v>14090</c:v>
                </c:pt>
                <c:pt idx="21">
                  <c:v>36103</c:v>
                </c:pt>
                <c:pt idx="22">
                  <c:v>24913</c:v>
                </c:pt>
                <c:pt idx="23">
                  <c:v>36095</c:v>
                </c:pt>
                <c:pt idx="24">
                  <c:v>31853</c:v>
                </c:pt>
                <c:pt idx="25">
                  <c:v>14154</c:v>
                </c:pt>
                <c:pt idx="26">
                  <c:v>26663</c:v>
                </c:pt>
                <c:pt idx="27">
                  <c:v>43122</c:v>
                </c:pt>
                <c:pt idx="28">
                  <c:v>14216</c:v>
                </c:pt>
                <c:pt idx="29">
                  <c:v>9118</c:v>
                </c:pt>
                <c:pt idx="30">
                  <c:v>16149</c:v>
                </c:pt>
                <c:pt idx="31">
                  <c:v>39272</c:v>
                </c:pt>
                <c:pt idx="32">
                  <c:v>44321</c:v>
                </c:pt>
                <c:pt idx="33">
                  <c:v>15969</c:v>
                </c:pt>
                <c:pt idx="34">
                  <c:v>39931</c:v>
                </c:pt>
                <c:pt idx="35">
                  <c:v>24494</c:v>
                </c:pt>
                <c:pt idx="36">
                  <c:v>20692</c:v>
                </c:pt>
                <c:pt idx="37">
                  <c:v>40478</c:v>
                </c:pt>
                <c:pt idx="38">
                  <c:v>19119</c:v>
                </c:pt>
                <c:pt idx="39">
                  <c:v>36484</c:v>
                </c:pt>
                <c:pt idx="40">
                  <c:v>35801</c:v>
                </c:pt>
                <c:pt idx="41">
                  <c:v>46670</c:v>
                </c:pt>
                <c:pt idx="42">
                  <c:v>18656</c:v>
                </c:pt>
                <c:pt idx="43">
                  <c:v>49772</c:v>
                </c:pt>
                <c:pt idx="44">
                  <c:v>18601</c:v>
                </c:pt>
                <c:pt idx="45">
                  <c:v>13316</c:v>
                </c:pt>
                <c:pt idx="46">
                  <c:v>5914</c:v>
                </c:pt>
                <c:pt idx="47">
                  <c:v>14722</c:v>
                </c:pt>
                <c:pt idx="48">
                  <c:v>37903</c:v>
                </c:pt>
                <c:pt idx="49">
                  <c:v>28498</c:v>
                </c:pt>
                <c:pt idx="50">
                  <c:v>47101</c:v>
                </c:pt>
                <c:pt idx="51">
                  <c:v>32763</c:v>
                </c:pt>
                <c:pt idx="52">
                  <c:v>33799</c:v>
                </c:pt>
                <c:pt idx="53">
                  <c:v>22482</c:v>
                </c:pt>
                <c:pt idx="54">
                  <c:v>7924</c:v>
                </c:pt>
                <c:pt idx="55">
                  <c:v>37829</c:v>
                </c:pt>
                <c:pt idx="56">
                  <c:v>11383</c:v>
                </c:pt>
                <c:pt idx="57">
                  <c:v>9942</c:v>
                </c:pt>
                <c:pt idx="58">
                  <c:v>43999</c:v>
                </c:pt>
                <c:pt idx="59">
                  <c:v>36397</c:v>
                </c:pt>
                <c:pt idx="60">
                  <c:v>42832</c:v>
                </c:pt>
                <c:pt idx="61">
                  <c:v>2798</c:v>
                </c:pt>
                <c:pt idx="62">
                  <c:v>22996</c:v>
                </c:pt>
                <c:pt idx="63">
                  <c:v>3455</c:v>
                </c:pt>
                <c:pt idx="64">
                  <c:v>30428</c:v>
                </c:pt>
                <c:pt idx="65">
                  <c:v>30270</c:v>
                </c:pt>
                <c:pt idx="66">
                  <c:v>22724</c:v>
                </c:pt>
                <c:pt idx="67">
                  <c:v>29116</c:v>
                </c:pt>
                <c:pt idx="68">
                  <c:v>10217</c:v>
                </c:pt>
                <c:pt idx="69">
                  <c:v>30671</c:v>
                </c:pt>
                <c:pt idx="70">
                  <c:v>10825</c:v>
                </c:pt>
                <c:pt idx="71">
                  <c:v>14203</c:v>
                </c:pt>
                <c:pt idx="72">
                  <c:v>5904</c:v>
                </c:pt>
                <c:pt idx="73">
                  <c:v>24384</c:v>
                </c:pt>
                <c:pt idx="74">
                  <c:v>7875</c:v>
                </c:pt>
                <c:pt idx="75">
                  <c:v>16443</c:v>
                </c:pt>
                <c:pt idx="76">
                  <c:v>6915</c:v>
                </c:pt>
                <c:pt idx="77">
                  <c:v>47603</c:v>
                </c:pt>
                <c:pt idx="78">
                  <c:v>30575</c:v>
                </c:pt>
                <c:pt idx="79">
                  <c:v>39031</c:v>
                </c:pt>
                <c:pt idx="80">
                  <c:v>42964</c:v>
                </c:pt>
                <c:pt idx="81">
                  <c:v>38883</c:v>
                </c:pt>
                <c:pt idx="82">
                  <c:v>9566</c:v>
                </c:pt>
                <c:pt idx="83">
                  <c:v>21205</c:v>
                </c:pt>
                <c:pt idx="84">
                  <c:v>44097</c:v>
                </c:pt>
                <c:pt idx="85">
                  <c:v>26067</c:v>
                </c:pt>
                <c:pt idx="86">
                  <c:v>32500</c:v>
                </c:pt>
                <c:pt idx="87">
                  <c:v>23489</c:v>
                </c:pt>
                <c:pt idx="88">
                  <c:v>35359</c:v>
                </c:pt>
                <c:pt idx="89">
                  <c:v>21539</c:v>
                </c:pt>
                <c:pt idx="90">
                  <c:v>37132</c:v>
                </c:pt>
                <c:pt idx="91">
                  <c:v>47812</c:v>
                </c:pt>
                <c:pt idx="92">
                  <c:v>40868</c:v>
                </c:pt>
                <c:pt idx="93">
                  <c:v>10002</c:v>
                </c:pt>
                <c:pt idx="94">
                  <c:v>20560</c:v>
                </c:pt>
                <c:pt idx="95">
                  <c:v>11329</c:v>
                </c:pt>
                <c:pt idx="96">
                  <c:v>45380</c:v>
                </c:pt>
                <c:pt idx="97">
                  <c:v>37876</c:v>
                </c:pt>
                <c:pt idx="98">
                  <c:v>49558</c:v>
                </c:pt>
                <c:pt idx="99">
                  <c:v>7541</c:v>
                </c:pt>
                <c:pt idx="100">
                  <c:v>14068</c:v>
                </c:pt>
                <c:pt idx="101">
                  <c:v>15045</c:v>
                </c:pt>
                <c:pt idx="102">
                  <c:v>31280</c:v>
                </c:pt>
                <c:pt idx="103">
                  <c:v>8471</c:v>
                </c:pt>
                <c:pt idx="104">
                  <c:v>40323</c:v>
                </c:pt>
                <c:pt idx="105">
                  <c:v>47502</c:v>
                </c:pt>
                <c:pt idx="106">
                  <c:v>7705</c:v>
                </c:pt>
                <c:pt idx="107">
                  <c:v>8718</c:v>
                </c:pt>
                <c:pt idx="108">
                  <c:v>4683</c:v>
                </c:pt>
                <c:pt idx="109">
                  <c:v>9480</c:v>
                </c:pt>
                <c:pt idx="110">
                  <c:v>1083</c:v>
                </c:pt>
                <c:pt idx="111">
                  <c:v>23140</c:v>
                </c:pt>
                <c:pt idx="112">
                  <c:v>6832</c:v>
                </c:pt>
                <c:pt idx="113">
                  <c:v>21208</c:v>
                </c:pt>
                <c:pt idx="114">
                  <c:v>18050</c:v>
                </c:pt>
                <c:pt idx="115">
                  <c:v>17951</c:v>
                </c:pt>
                <c:pt idx="116">
                  <c:v>18693</c:v>
                </c:pt>
                <c:pt idx="117">
                  <c:v>12148</c:v>
                </c:pt>
                <c:pt idx="118">
                  <c:v>13116</c:v>
                </c:pt>
                <c:pt idx="119">
                  <c:v>46625</c:v>
                </c:pt>
                <c:pt idx="120">
                  <c:v>48270</c:v>
                </c:pt>
                <c:pt idx="121">
                  <c:v>2932</c:v>
                </c:pt>
                <c:pt idx="122">
                  <c:v>15353</c:v>
                </c:pt>
                <c:pt idx="123">
                  <c:v>4996</c:v>
                </c:pt>
                <c:pt idx="124">
                  <c:v>9920</c:v>
                </c:pt>
                <c:pt idx="125">
                  <c:v>15071</c:v>
                </c:pt>
                <c:pt idx="126">
                  <c:v>23461</c:v>
                </c:pt>
                <c:pt idx="127">
                  <c:v>16804</c:v>
                </c:pt>
                <c:pt idx="128">
                  <c:v>21453</c:v>
                </c:pt>
                <c:pt idx="129">
                  <c:v>49077</c:v>
                </c:pt>
                <c:pt idx="130">
                  <c:v>3582</c:v>
                </c:pt>
                <c:pt idx="131">
                  <c:v>5391</c:v>
                </c:pt>
                <c:pt idx="132">
                  <c:v>42824</c:v>
                </c:pt>
                <c:pt idx="133">
                  <c:v>32393</c:v>
                </c:pt>
                <c:pt idx="134">
                  <c:v>23853</c:v>
                </c:pt>
                <c:pt idx="135">
                  <c:v>26752</c:v>
                </c:pt>
                <c:pt idx="136">
                  <c:v>49400</c:v>
                </c:pt>
                <c:pt idx="137">
                  <c:v>20059</c:v>
                </c:pt>
                <c:pt idx="138">
                  <c:v>30214</c:v>
                </c:pt>
                <c:pt idx="139">
                  <c:v>21939</c:v>
                </c:pt>
                <c:pt idx="140">
                  <c:v>6742</c:v>
                </c:pt>
                <c:pt idx="141">
                  <c:v>49303</c:v>
                </c:pt>
                <c:pt idx="142">
                  <c:v>9269</c:v>
                </c:pt>
                <c:pt idx="143">
                  <c:v>48419</c:v>
                </c:pt>
                <c:pt idx="144">
                  <c:v>24313</c:v>
                </c:pt>
                <c:pt idx="145">
                  <c:v>12646</c:v>
                </c:pt>
                <c:pt idx="146">
                  <c:v>12384</c:v>
                </c:pt>
                <c:pt idx="147">
                  <c:v>49372</c:v>
                </c:pt>
                <c:pt idx="148">
                  <c:v>26452</c:v>
                </c:pt>
                <c:pt idx="149">
                  <c:v>30987</c:v>
                </c:pt>
                <c:pt idx="150">
                  <c:v>38610</c:v>
                </c:pt>
                <c:pt idx="151">
                  <c:v>45708</c:v>
                </c:pt>
                <c:pt idx="152">
                  <c:v>21061</c:v>
                </c:pt>
                <c:pt idx="153">
                  <c:v>40888</c:v>
                </c:pt>
                <c:pt idx="154">
                  <c:v>7285</c:v>
                </c:pt>
                <c:pt idx="155">
                  <c:v>4007</c:v>
                </c:pt>
                <c:pt idx="156">
                  <c:v>32478</c:v>
                </c:pt>
                <c:pt idx="157">
                  <c:v>15476</c:v>
                </c:pt>
                <c:pt idx="158">
                  <c:v>6296</c:v>
                </c:pt>
                <c:pt idx="159">
                  <c:v>39923</c:v>
                </c:pt>
                <c:pt idx="160">
                  <c:v>25797</c:v>
                </c:pt>
                <c:pt idx="161">
                  <c:v>10283</c:v>
                </c:pt>
                <c:pt idx="162">
                  <c:v>8912</c:v>
                </c:pt>
                <c:pt idx="163">
                  <c:v>2436</c:v>
                </c:pt>
                <c:pt idx="164">
                  <c:v>28474</c:v>
                </c:pt>
                <c:pt idx="165">
                  <c:v>17328</c:v>
                </c:pt>
                <c:pt idx="166">
                  <c:v>20733</c:v>
                </c:pt>
                <c:pt idx="167">
                  <c:v>27822</c:v>
                </c:pt>
                <c:pt idx="168">
                  <c:v>4509</c:v>
                </c:pt>
                <c:pt idx="169">
                  <c:v>47462</c:v>
                </c:pt>
                <c:pt idx="170">
                  <c:v>39530</c:v>
                </c:pt>
                <c:pt idx="171">
                  <c:v>30060</c:v>
                </c:pt>
                <c:pt idx="172">
                  <c:v>35501</c:v>
                </c:pt>
                <c:pt idx="173">
                  <c:v>39997</c:v>
                </c:pt>
                <c:pt idx="174">
                  <c:v>42307</c:v>
                </c:pt>
                <c:pt idx="175">
                  <c:v>22373</c:v>
                </c:pt>
                <c:pt idx="176">
                  <c:v>11035</c:v>
                </c:pt>
                <c:pt idx="177">
                  <c:v>33258</c:v>
                </c:pt>
                <c:pt idx="178">
                  <c:v>26925</c:v>
                </c:pt>
                <c:pt idx="179">
                  <c:v>15827</c:v>
                </c:pt>
                <c:pt idx="180">
                  <c:v>32929</c:v>
                </c:pt>
                <c:pt idx="181">
                  <c:v>11901</c:v>
                </c:pt>
                <c:pt idx="182">
                  <c:v>33174</c:v>
                </c:pt>
                <c:pt idx="183">
                  <c:v>5442</c:v>
                </c:pt>
                <c:pt idx="184">
                  <c:v>37636</c:v>
                </c:pt>
                <c:pt idx="185">
                  <c:v>29533</c:v>
                </c:pt>
                <c:pt idx="186">
                  <c:v>38452</c:v>
                </c:pt>
                <c:pt idx="187">
                  <c:v>20553</c:v>
                </c:pt>
                <c:pt idx="188">
                  <c:v>1783</c:v>
                </c:pt>
                <c:pt idx="189">
                  <c:v>12350</c:v>
                </c:pt>
                <c:pt idx="190">
                  <c:v>2293</c:v>
                </c:pt>
                <c:pt idx="191">
                  <c:v>43420</c:v>
                </c:pt>
                <c:pt idx="192">
                  <c:v>25525</c:v>
                </c:pt>
                <c:pt idx="193">
                  <c:v>25920</c:v>
                </c:pt>
                <c:pt idx="194">
                  <c:v>2315</c:v>
                </c:pt>
                <c:pt idx="195">
                  <c:v>26455</c:v>
                </c:pt>
                <c:pt idx="196">
                  <c:v>18001</c:v>
                </c:pt>
                <c:pt idx="197">
                  <c:v>9566</c:v>
                </c:pt>
                <c:pt idx="198">
                  <c:v>4839</c:v>
                </c:pt>
                <c:pt idx="199">
                  <c:v>12174</c:v>
                </c:pt>
              </c:numCache>
            </c:numRef>
          </c:xVal>
          <c:yVal>
            <c:numRef>
              <c:f>Cleaned_Engagement!$H$2:$H$202</c:f>
              <c:numCache>
                <c:formatCode>General</c:formatCode>
                <c:ptCount val="201"/>
                <c:pt idx="0">
                  <c:v>1881</c:v>
                </c:pt>
                <c:pt idx="1">
                  <c:v>1872</c:v>
                </c:pt>
                <c:pt idx="2">
                  <c:v>1845</c:v>
                </c:pt>
                <c:pt idx="3">
                  <c:v>1776</c:v>
                </c:pt>
                <c:pt idx="4">
                  <c:v>1765</c:v>
                </c:pt>
                <c:pt idx="5">
                  <c:v>1727</c:v>
                </c:pt>
                <c:pt idx="6">
                  <c:v>1723</c:v>
                </c:pt>
                <c:pt idx="7">
                  <c:v>1722</c:v>
                </c:pt>
                <c:pt idx="8">
                  <c:v>1707</c:v>
                </c:pt>
                <c:pt idx="9">
                  <c:v>1706</c:v>
                </c:pt>
                <c:pt idx="10">
                  <c:v>1706</c:v>
                </c:pt>
                <c:pt idx="11">
                  <c:v>1693</c:v>
                </c:pt>
                <c:pt idx="12">
                  <c:v>1680</c:v>
                </c:pt>
                <c:pt idx="13">
                  <c:v>1676</c:v>
                </c:pt>
                <c:pt idx="14">
                  <c:v>1672</c:v>
                </c:pt>
                <c:pt idx="15">
                  <c:v>1670</c:v>
                </c:pt>
                <c:pt idx="16">
                  <c:v>1665</c:v>
                </c:pt>
                <c:pt idx="17">
                  <c:v>1662</c:v>
                </c:pt>
                <c:pt idx="18">
                  <c:v>1657</c:v>
                </c:pt>
                <c:pt idx="19">
                  <c:v>1656</c:v>
                </c:pt>
                <c:pt idx="20">
                  <c:v>1633</c:v>
                </c:pt>
                <c:pt idx="21">
                  <c:v>1625</c:v>
                </c:pt>
                <c:pt idx="22">
                  <c:v>1609</c:v>
                </c:pt>
                <c:pt idx="23">
                  <c:v>1603</c:v>
                </c:pt>
                <c:pt idx="24">
                  <c:v>1590</c:v>
                </c:pt>
                <c:pt idx="25">
                  <c:v>1589</c:v>
                </c:pt>
                <c:pt idx="26">
                  <c:v>1572</c:v>
                </c:pt>
                <c:pt idx="27">
                  <c:v>1572</c:v>
                </c:pt>
                <c:pt idx="28">
                  <c:v>1539</c:v>
                </c:pt>
                <c:pt idx="29">
                  <c:v>1529</c:v>
                </c:pt>
                <c:pt idx="30">
                  <c:v>1510</c:v>
                </c:pt>
                <c:pt idx="31">
                  <c:v>1495</c:v>
                </c:pt>
                <c:pt idx="32">
                  <c:v>1484</c:v>
                </c:pt>
                <c:pt idx="33">
                  <c:v>1467</c:v>
                </c:pt>
                <c:pt idx="34">
                  <c:v>1460</c:v>
                </c:pt>
                <c:pt idx="35">
                  <c:v>1444</c:v>
                </c:pt>
                <c:pt idx="36">
                  <c:v>1432</c:v>
                </c:pt>
                <c:pt idx="37">
                  <c:v>1428</c:v>
                </c:pt>
                <c:pt idx="38">
                  <c:v>1426</c:v>
                </c:pt>
                <c:pt idx="39">
                  <c:v>1397</c:v>
                </c:pt>
                <c:pt idx="40">
                  <c:v>1385</c:v>
                </c:pt>
                <c:pt idx="41">
                  <c:v>1382</c:v>
                </c:pt>
                <c:pt idx="42">
                  <c:v>1377</c:v>
                </c:pt>
                <c:pt idx="43">
                  <c:v>1375</c:v>
                </c:pt>
                <c:pt idx="44">
                  <c:v>1373</c:v>
                </c:pt>
                <c:pt idx="45">
                  <c:v>1359</c:v>
                </c:pt>
                <c:pt idx="46">
                  <c:v>1357</c:v>
                </c:pt>
                <c:pt idx="47">
                  <c:v>1350</c:v>
                </c:pt>
                <c:pt idx="48">
                  <c:v>1334</c:v>
                </c:pt>
                <c:pt idx="49">
                  <c:v>1332</c:v>
                </c:pt>
                <c:pt idx="50">
                  <c:v>1325</c:v>
                </c:pt>
                <c:pt idx="51">
                  <c:v>1316</c:v>
                </c:pt>
                <c:pt idx="52">
                  <c:v>1315</c:v>
                </c:pt>
                <c:pt idx="53">
                  <c:v>1295</c:v>
                </c:pt>
                <c:pt idx="54">
                  <c:v>1283</c:v>
                </c:pt>
                <c:pt idx="55">
                  <c:v>1247</c:v>
                </c:pt>
                <c:pt idx="56">
                  <c:v>1242</c:v>
                </c:pt>
                <c:pt idx="57">
                  <c:v>1229</c:v>
                </c:pt>
                <c:pt idx="58">
                  <c:v>1225</c:v>
                </c:pt>
                <c:pt idx="59">
                  <c:v>1224</c:v>
                </c:pt>
                <c:pt idx="60">
                  <c:v>1202</c:v>
                </c:pt>
                <c:pt idx="61">
                  <c:v>1188</c:v>
                </c:pt>
                <c:pt idx="62">
                  <c:v>1175</c:v>
                </c:pt>
                <c:pt idx="63">
                  <c:v>1173</c:v>
                </c:pt>
                <c:pt idx="64">
                  <c:v>1150</c:v>
                </c:pt>
                <c:pt idx="65">
                  <c:v>1125</c:v>
                </c:pt>
                <c:pt idx="66">
                  <c:v>1119</c:v>
                </c:pt>
                <c:pt idx="67">
                  <c:v>1116</c:v>
                </c:pt>
                <c:pt idx="68">
                  <c:v>1100</c:v>
                </c:pt>
                <c:pt idx="69">
                  <c:v>1090</c:v>
                </c:pt>
                <c:pt idx="70">
                  <c:v>1080</c:v>
                </c:pt>
                <c:pt idx="71">
                  <c:v>1058</c:v>
                </c:pt>
                <c:pt idx="72">
                  <c:v>1047</c:v>
                </c:pt>
                <c:pt idx="73">
                  <c:v>1045</c:v>
                </c:pt>
                <c:pt idx="74">
                  <c:v>1045</c:v>
                </c:pt>
                <c:pt idx="75">
                  <c:v>1044</c:v>
                </c:pt>
                <c:pt idx="76">
                  <c:v>1032</c:v>
                </c:pt>
                <c:pt idx="77">
                  <c:v>1029</c:v>
                </c:pt>
                <c:pt idx="78">
                  <c:v>1025</c:v>
                </c:pt>
                <c:pt idx="79">
                  <c:v>1016</c:v>
                </c:pt>
                <c:pt idx="80">
                  <c:v>1007</c:v>
                </c:pt>
                <c:pt idx="81">
                  <c:v>1006</c:v>
                </c:pt>
                <c:pt idx="82">
                  <c:v>1002</c:v>
                </c:pt>
                <c:pt idx="83">
                  <c:v>994</c:v>
                </c:pt>
                <c:pt idx="84">
                  <c:v>965</c:v>
                </c:pt>
                <c:pt idx="85">
                  <c:v>961</c:v>
                </c:pt>
                <c:pt idx="86">
                  <c:v>948</c:v>
                </c:pt>
                <c:pt idx="87">
                  <c:v>912</c:v>
                </c:pt>
                <c:pt idx="88">
                  <c:v>911</c:v>
                </c:pt>
                <c:pt idx="89">
                  <c:v>908</c:v>
                </c:pt>
                <c:pt idx="90">
                  <c:v>903</c:v>
                </c:pt>
                <c:pt idx="91">
                  <c:v>902</c:v>
                </c:pt>
                <c:pt idx="92">
                  <c:v>901</c:v>
                </c:pt>
                <c:pt idx="93">
                  <c:v>899</c:v>
                </c:pt>
                <c:pt idx="94">
                  <c:v>898</c:v>
                </c:pt>
                <c:pt idx="95">
                  <c:v>893</c:v>
                </c:pt>
                <c:pt idx="96">
                  <c:v>891</c:v>
                </c:pt>
                <c:pt idx="97">
                  <c:v>885</c:v>
                </c:pt>
                <c:pt idx="98">
                  <c:v>876</c:v>
                </c:pt>
                <c:pt idx="99">
                  <c:v>864</c:v>
                </c:pt>
                <c:pt idx="100">
                  <c:v>861</c:v>
                </c:pt>
                <c:pt idx="101">
                  <c:v>846</c:v>
                </c:pt>
                <c:pt idx="102">
                  <c:v>835</c:v>
                </c:pt>
                <c:pt idx="103">
                  <c:v>759</c:v>
                </c:pt>
                <c:pt idx="104">
                  <c:v>748</c:v>
                </c:pt>
                <c:pt idx="105">
                  <c:v>730</c:v>
                </c:pt>
                <c:pt idx="106">
                  <c:v>724</c:v>
                </c:pt>
                <c:pt idx="107">
                  <c:v>708</c:v>
                </c:pt>
                <c:pt idx="108">
                  <c:v>684</c:v>
                </c:pt>
                <c:pt idx="109">
                  <c:v>680</c:v>
                </c:pt>
                <c:pt idx="110">
                  <c:v>666</c:v>
                </c:pt>
                <c:pt idx="111">
                  <c:v>641</c:v>
                </c:pt>
                <c:pt idx="112">
                  <c:v>637</c:v>
                </c:pt>
                <c:pt idx="113">
                  <c:v>636</c:v>
                </c:pt>
                <c:pt idx="114">
                  <c:v>629</c:v>
                </c:pt>
                <c:pt idx="115">
                  <c:v>620</c:v>
                </c:pt>
                <c:pt idx="116">
                  <c:v>603</c:v>
                </c:pt>
                <c:pt idx="117">
                  <c:v>599</c:v>
                </c:pt>
                <c:pt idx="118">
                  <c:v>576</c:v>
                </c:pt>
                <c:pt idx="119">
                  <c:v>573</c:v>
                </c:pt>
                <c:pt idx="120">
                  <c:v>569</c:v>
                </c:pt>
                <c:pt idx="121">
                  <c:v>547</c:v>
                </c:pt>
                <c:pt idx="122">
                  <c:v>541</c:v>
                </c:pt>
                <c:pt idx="123">
                  <c:v>540</c:v>
                </c:pt>
                <c:pt idx="124">
                  <c:v>517</c:v>
                </c:pt>
                <c:pt idx="125">
                  <c:v>514</c:v>
                </c:pt>
                <c:pt idx="126">
                  <c:v>514</c:v>
                </c:pt>
                <c:pt idx="127">
                  <c:v>475</c:v>
                </c:pt>
                <c:pt idx="128">
                  <c:v>474</c:v>
                </c:pt>
                <c:pt idx="129">
                  <c:v>461</c:v>
                </c:pt>
                <c:pt idx="130">
                  <c:v>453</c:v>
                </c:pt>
                <c:pt idx="131">
                  <c:v>445</c:v>
                </c:pt>
                <c:pt idx="132">
                  <c:v>439</c:v>
                </c:pt>
                <c:pt idx="133">
                  <c:v>429</c:v>
                </c:pt>
                <c:pt idx="134">
                  <c:v>427</c:v>
                </c:pt>
                <c:pt idx="135">
                  <c:v>415</c:v>
                </c:pt>
                <c:pt idx="136">
                  <c:v>407</c:v>
                </c:pt>
                <c:pt idx="137">
                  <c:v>389</c:v>
                </c:pt>
                <c:pt idx="138">
                  <c:v>386</c:v>
                </c:pt>
                <c:pt idx="139">
                  <c:v>377</c:v>
                </c:pt>
                <c:pt idx="140">
                  <c:v>367</c:v>
                </c:pt>
                <c:pt idx="141">
                  <c:v>352</c:v>
                </c:pt>
                <c:pt idx="142">
                  <c:v>349</c:v>
                </c:pt>
                <c:pt idx="143">
                  <c:v>339</c:v>
                </c:pt>
                <c:pt idx="144">
                  <c:v>337</c:v>
                </c:pt>
                <c:pt idx="145">
                  <c:v>333</c:v>
                </c:pt>
                <c:pt idx="146">
                  <c:v>328</c:v>
                </c:pt>
                <c:pt idx="147">
                  <c:v>319</c:v>
                </c:pt>
                <c:pt idx="148">
                  <c:v>317</c:v>
                </c:pt>
                <c:pt idx="149">
                  <c:v>315</c:v>
                </c:pt>
                <c:pt idx="150">
                  <c:v>309</c:v>
                </c:pt>
                <c:pt idx="151">
                  <c:v>298</c:v>
                </c:pt>
                <c:pt idx="152">
                  <c:v>292</c:v>
                </c:pt>
                <c:pt idx="153">
                  <c:v>291</c:v>
                </c:pt>
                <c:pt idx="154">
                  <c:v>285</c:v>
                </c:pt>
                <c:pt idx="155">
                  <c:v>269</c:v>
                </c:pt>
                <c:pt idx="156">
                  <c:v>262</c:v>
                </c:pt>
                <c:pt idx="157">
                  <c:v>260</c:v>
                </c:pt>
                <c:pt idx="158">
                  <c:v>212</c:v>
                </c:pt>
                <c:pt idx="159">
                  <c:v>209</c:v>
                </c:pt>
                <c:pt idx="160">
                  <c:v>197</c:v>
                </c:pt>
                <c:pt idx="161">
                  <c:v>190</c:v>
                </c:pt>
                <c:pt idx="162">
                  <c:v>186</c:v>
                </c:pt>
                <c:pt idx="163">
                  <c:v>167</c:v>
                </c:pt>
                <c:pt idx="164">
                  <c:v>160</c:v>
                </c:pt>
                <c:pt idx="165">
                  <c:v>159</c:v>
                </c:pt>
                <c:pt idx="166">
                  <c:v>145</c:v>
                </c:pt>
                <c:pt idx="167">
                  <c:v>118</c:v>
                </c:pt>
                <c:pt idx="168">
                  <c:v>107</c:v>
                </c:pt>
                <c:pt idx="169">
                  <c:v>98</c:v>
                </c:pt>
                <c:pt idx="170">
                  <c:v>98</c:v>
                </c:pt>
                <c:pt idx="171">
                  <c:v>91</c:v>
                </c:pt>
                <c:pt idx="172">
                  <c:v>76</c:v>
                </c:pt>
                <c:pt idx="173">
                  <c:v>72</c:v>
                </c:pt>
                <c:pt idx="174">
                  <c:v>64</c:v>
                </c:pt>
                <c:pt idx="175">
                  <c:v>60</c:v>
                </c:pt>
                <c:pt idx="176">
                  <c:v>53</c:v>
                </c:pt>
                <c:pt idx="177">
                  <c:v>37</c:v>
                </c:pt>
                <c:pt idx="178">
                  <c:v>37</c:v>
                </c:pt>
                <c:pt idx="179">
                  <c:v>37</c:v>
                </c:pt>
                <c:pt idx="180">
                  <c:v>28</c:v>
                </c:pt>
                <c:pt idx="181">
                  <c:v>-19</c:v>
                </c:pt>
                <c:pt idx="182">
                  <c:v>-20</c:v>
                </c:pt>
                <c:pt idx="183">
                  <c:v>-32</c:v>
                </c:pt>
                <c:pt idx="184">
                  <c:v>-37</c:v>
                </c:pt>
                <c:pt idx="185">
                  <c:v>-49</c:v>
                </c:pt>
                <c:pt idx="186">
                  <c:v>-106</c:v>
                </c:pt>
                <c:pt idx="187">
                  <c:v>-119</c:v>
                </c:pt>
                <c:pt idx="188">
                  <c:v>-123</c:v>
                </c:pt>
                <c:pt idx="189">
                  <c:v>-144</c:v>
                </c:pt>
                <c:pt idx="190">
                  <c:v>-160</c:v>
                </c:pt>
                <c:pt idx="191">
                  <c:v>-164</c:v>
                </c:pt>
                <c:pt idx="192">
                  <c:v>-166</c:v>
                </c:pt>
                <c:pt idx="193">
                  <c:v>-175</c:v>
                </c:pt>
                <c:pt idx="194">
                  <c:v>-179</c:v>
                </c:pt>
                <c:pt idx="195">
                  <c:v>-197</c:v>
                </c:pt>
                <c:pt idx="196">
                  <c:v>-203</c:v>
                </c:pt>
                <c:pt idx="197">
                  <c:v>-219</c:v>
                </c:pt>
                <c:pt idx="198">
                  <c:v>-318</c:v>
                </c:pt>
                <c:pt idx="199">
                  <c:v>-337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11-4338-96FC-5333B216AD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8947663"/>
        <c:axId val="678946703"/>
      </c:scatterChart>
      <c:valAx>
        <c:axId val="678947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946703"/>
        <c:crosses val="autoZero"/>
        <c:crossBetween val="midCat"/>
      </c:valAx>
      <c:valAx>
        <c:axId val="678946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9476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[Task6_Follower_Retention_And_Audience_Loyalty.xlsx]Weekly_Growth_Pivot!PivotTable13</c:name>
    <c:fmtId val="1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Weekly_Growth_Pivot!$B$3:$B$4</c:f>
              <c:strCache>
                <c:ptCount val="1"/>
                <c:pt idx="0">
                  <c:v>Facebook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Weekly_Growth_Pivot!$A$5:$A$12</c:f>
              <c:strCache>
                <c:ptCount val="7"/>
                <c:pt idx="0">
                  <c:v>Jun</c:v>
                </c:pt>
                <c:pt idx="1">
                  <c:v>Jul</c:v>
                </c:pt>
                <c:pt idx="2">
                  <c:v>Aug</c:v>
                </c:pt>
                <c:pt idx="3">
                  <c:v>Sep</c:v>
                </c:pt>
                <c:pt idx="4">
                  <c:v>Oct</c:v>
                </c:pt>
                <c:pt idx="5">
                  <c:v>Nov</c:v>
                </c:pt>
                <c:pt idx="6">
                  <c:v>Dec</c:v>
                </c:pt>
              </c:strCache>
            </c:strRef>
          </c:cat>
          <c:val>
            <c:numRef>
              <c:f>Weekly_Growth_Pivot!$B$5:$B$12</c:f>
              <c:numCache>
                <c:formatCode>General</c:formatCode>
                <c:ptCount val="7"/>
                <c:pt idx="0">
                  <c:v>5546</c:v>
                </c:pt>
                <c:pt idx="1">
                  <c:v>5348</c:v>
                </c:pt>
                <c:pt idx="2">
                  <c:v>3212</c:v>
                </c:pt>
                <c:pt idx="3">
                  <c:v>6484</c:v>
                </c:pt>
                <c:pt idx="4">
                  <c:v>7269</c:v>
                </c:pt>
                <c:pt idx="5">
                  <c:v>5629</c:v>
                </c:pt>
                <c:pt idx="6">
                  <c:v>2069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47-4D0E-B647-558BC7094B31}"/>
            </c:ext>
          </c:extLst>
        </c:ser>
        <c:ser>
          <c:idx val="1"/>
          <c:order val="1"/>
          <c:tx>
            <c:strRef>
              <c:f>Weekly_Growth_Pivot!$C$3:$C$4</c:f>
              <c:strCache>
                <c:ptCount val="1"/>
                <c:pt idx="0">
                  <c:v>Instagram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Weekly_Growth_Pivot!$A$5:$A$12</c:f>
              <c:strCache>
                <c:ptCount val="7"/>
                <c:pt idx="0">
                  <c:v>Jun</c:v>
                </c:pt>
                <c:pt idx="1">
                  <c:v>Jul</c:v>
                </c:pt>
                <c:pt idx="2">
                  <c:v>Aug</c:v>
                </c:pt>
                <c:pt idx="3">
                  <c:v>Sep</c:v>
                </c:pt>
                <c:pt idx="4">
                  <c:v>Oct</c:v>
                </c:pt>
                <c:pt idx="5">
                  <c:v>Nov</c:v>
                </c:pt>
                <c:pt idx="6">
                  <c:v>Dec</c:v>
                </c:pt>
              </c:strCache>
            </c:strRef>
          </c:cat>
          <c:val>
            <c:numRef>
              <c:f>Weekly_Growth_Pivot!$C$5:$C$12</c:f>
              <c:numCache>
                <c:formatCode>General</c:formatCode>
                <c:ptCount val="7"/>
                <c:pt idx="0">
                  <c:v>6384</c:v>
                </c:pt>
                <c:pt idx="1">
                  <c:v>6881</c:v>
                </c:pt>
                <c:pt idx="2">
                  <c:v>7399</c:v>
                </c:pt>
                <c:pt idx="3">
                  <c:v>7406</c:v>
                </c:pt>
                <c:pt idx="4">
                  <c:v>9564</c:v>
                </c:pt>
                <c:pt idx="5">
                  <c:v>4691</c:v>
                </c:pt>
                <c:pt idx="6">
                  <c:v>5679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47-4D0E-B647-558BC7094B31}"/>
            </c:ext>
          </c:extLst>
        </c:ser>
        <c:ser>
          <c:idx val="2"/>
          <c:order val="2"/>
          <c:tx>
            <c:strRef>
              <c:f>Weekly_Growth_Pivot!$D$3:$D$4</c:f>
              <c:strCache>
                <c:ptCount val="1"/>
                <c:pt idx="0">
                  <c:v>Twitter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Weekly_Growth_Pivot!$A$5:$A$12</c:f>
              <c:strCache>
                <c:ptCount val="7"/>
                <c:pt idx="0">
                  <c:v>Jun</c:v>
                </c:pt>
                <c:pt idx="1">
                  <c:v>Jul</c:v>
                </c:pt>
                <c:pt idx="2">
                  <c:v>Aug</c:v>
                </c:pt>
                <c:pt idx="3">
                  <c:v>Sep</c:v>
                </c:pt>
                <c:pt idx="4">
                  <c:v>Oct</c:v>
                </c:pt>
                <c:pt idx="5">
                  <c:v>Nov</c:v>
                </c:pt>
                <c:pt idx="6">
                  <c:v>Dec</c:v>
                </c:pt>
              </c:strCache>
            </c:strRef>
          </c:cat>
          <c:val>
            <c:numRef>
              <c:f>Weekly_Growth_Pivot!$D$5:$D$12</c:f>
              <c:numCache>
                <c:formatCode>General</c:formatCode>
                <c:ptCount val="7"/>
                <c:pt idx="0">
                  <c:v>5064</c:v>
                </c:pt>
                <c:pt idx="1">
                  <c:v>6527</c:v>
                </c:pt>
                <c:pt idx="2">
                  <c:v>4164</c:v>
                </c:pt>
                <c:pt idx="3">
                  <c:v>8466</c:v>
                </c:pt>
                <c:pt idx="4">
                  <c:v>6624</c:v>
                </c:pt>
                <c:pt idx="5">
                  <c:v>6793</c:v>
                </c:pt>
                <c:pt idx="6">
                  <c:v>3539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347-4D0E-B647-558BC7094B31}"/>
            </c:ext>
          </c:extLst>
        </c:ser>
        <c:ser>
          <c:idx val="3"/>
          <c:order val="3"/>
          <c:tx>
            <c:strRef>
              <c:f>Weekly_Growth_Pivot!$E$3:$E$4</c:f>
              <c:strCache>
                <c:ptCount val="1"/>
                <c:pt idx="0">
                  <c:v>YouTube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Weekly_Growth_Pivot!$A$5:$A$12</c:f>
              <c:strCache>
                <c:ptCount val="7"/>
                <c:pt idx="0">
                  <c:v>Jun</c:v>
                </c:pt>
                <c:pt idx="1">
                  <c:v>Jul</c:v>
                </c:pt>
                <c:pt idx="2">
                  <c:v>Aug</c:v>
                </c:pt>
                <c:pt idx="3">
                  <c:v>Sep</c:v>
                </c:pt>
                <c:pt idx="4">
                  <c:v>Oct</c:v>
                </c:pt>
                <c:pt idx="5">
                  <c:v>Nov</c:v>
                </c:pt>
                <c:pt idx="6">
                  <c:v>Dec</c:v>
                </c:pt>
              </c:strCache>
            </c:strRef>
          </c:cat>
          <c:val>
            <c:numRef>
              <c:f>Weekly_Growth_Pivot!$E$5:$E$12</c:f>
              <c:numCache>
                <c:formatCode>General</c:formatCode>
                <c:ptCount val="7"/>
                <c:pt idx="0">
                  <c:v>3063</c:v>
                </c:pt>
                <c:pt idx="1">
                  <c:v>2694</c:v>
                </c:pt>
                <c:pt idx="2">
                  <c:v>7406</c:v>
                </c:pt>
                <c:pt idx="3">
                  <c:v>5667</c:v>
                </c:pt>
                <c:pt idx="4">
                  <c:v>6397</c:v>
                </c:pt>
                <c:pt idx="5">
                  <c:v>7198</c:v>
                </c:pt>
                <c:pt idx="6">
                  <c:v>2942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347-4D0E-B647-558BC7094B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7605280"/>
        <c:axId val="637603360"/>
      </c:lineChart>
      <c:catAx>
        <c:axId val="637605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603360"/>
        <c:crosses val="autoZero"/>
        <c:auto val="1"/>
        <c:lblAlgn val="ctr"/>
        <c:lblOffset val="100"/>
        <c:noMultiLvlLbl val="0"/>
      </c:catAx>
      <c:valAx>
        <c:axId val="637603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605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Weekly Follower Growth vs 3-Week Moving Average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Moving_Average_Analysis!$B$1</c:f>
              <c:strCache>
                <c:ptCount val="1"/>
                <c:pt idx="0">
                  <c:v>Net_Follower_Growth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Moving_Average_Analysis!$A$2:$A$51</c:f>
              <c:numCache>
                <c:formatCode>m/d/yyyy</c:formatCode>
                <c:ptCount val="50"/>
                <c:pt idx="0">
                  <c:v>45446</c:v>
                </c:pt>
                <c:pt idx="1">
                  <c:v>45450</c:v>
                </c:pt>
                <c:pt idx="2">
                  <c:v>45454</c:v>
                </c:pt>
                <c:pt idx="3">
                  <c:v>45458</c:v>
                </c:pt>
                <c:pt idx="4">
                  <c:v>45462</c:v>
                </c:pt>
                <c:pt idx="5">
                  <c:v>45466</c:v>
                </c:pt>
                <c:pt idx="6">
                  <c:v>45470</c:v>
                </c:pt>
                <c:pt idx="7">
                  <c:v>45474</c:v>
                </c:pt>
                <c:pt idx="8">
                  <c:v>45478</c:v>
                </c:pt>
                <c:pt idx="9">
                  <c:v>45482</c:v>
                </c:pt>
                <c:pt idx="10">
                  <c:v>45486</c:v>
                </c:pt>
                <c:pt idx="11">
                  <c:v>45490</c:v>
                </c:pt>
                <c:pt idx="12">
                  <c:v>45494</c:v>
                </c:pt>
                <c:pt idx="13">
                  <c:v>45498</c:v>
                </c:pt>
                <c:pt idx="14">
                  <c:v>45502</c:v>
                </c:pt>
                <c:pt idx="15">
                  <c:v>45506</c:v>
                </c:pt>
                <c:pt idx="16">
                  <c:v>45510</c:v>
                </c:pt>
                <c:pt idx="17">
                  <c:v>45514</c:v>
                </c:pt>
                <c:pt idx="18">
                  <c:v>45518</c:v>
                </c:pt>
                <c:pt idx="19">
                  <c:v>45522</c:v>
                </c:pt>
                <c:pt idx="20">
                  <c:v>45526</c:v>
                </c:pt>
                <c:pt idx="21">
                  <c:v>45530</c:v>
                </c:pt>
                <c:pt idx="22">
                  <c:v>45534</c:v>
                </c:pt>
                <c:pt idx="23">
                  <c:v>45538</c:v>
                </c:pt>
                <c:pt idx="24">
                  <c:v>45542</c:v>
                </c:pt>
                <c:pt idx="25">
                  <c:v>45546</c:v>
                </c:pt>
                <c:pt idx="26">
                  <c:v>45550</c:v>
                </c:pt>
                <c:pt idx="27">
                  <c:v>45554</c:v>
                </c:pt>
                <c:pt idx="28">
                  <c:v>45558</c:v>
                </c:pt>
                <c:pt idx="29">
                  <c:v>45562</c:v>
                </c:pt>
                <c:pt idx="30">
                  <c:v>45566</c:v>
                </c:pt>
                <c:pt idx="31">
                  <c:v>45570</c:v>
                </c:pt>
                <c:pt idx="32">
                  <c:v>45574</c:v>
                </c:pt>
                <c:pt idx="33">
                  <c:v>45578</c:v>
                </c:pt>
                <c:pt idx="34">
                  <c:v>45582</c:v>
                </c:pt>
                <c:pt idx="35">
                  <c:v>45586</c:v>
                </c:pt>
                <c:pt idx="36">
                  <c:v>45590</c:v>
                </c:pt>
                <c:pt idx="37">
                  <c:v>45594</c:v>
                </c:pt>
                <c:pt idx="38">
                  <c:v>45598</c:v>
                </c:pt>
                <c:pt idx="39">
                  <c:v>45602</c:v>
                </c:pt>
                <c:pt idx="40">
                  <c:v>45606</c:v>
                </c:pt>
                <c:pt idx="41">
                  <c:v>45610</c:v>
                </c:pt>
                <c:pt idx="42">
                  <c:v>45614</c:v>
                </c:pt>
                <c:pt idx="43">
                  <c:v>45618</c:v>
                </c:pt>
                <c:pt idx="44">
                  <c:v>45622</c:v>
                </c:pt>
                <c:pt idx="45">
                  <c:v>45626</c:v>
                </c:pt>
                <c:pt idx="46">
                  <c:v>45630</c:v>
                </c:pt>
                <c:pt idx="47">
                  <c:v>45634</c:v>
                </c:pt>
                <c:pt idx="48">
                  <c:v>45638</c:v>
                </c:pt>
                <c:pt idx="49">
                  <c:v>45642</c:v>
                </c:pt>
              </c:numCache>
            </c:numRef>
          </c:cat>
          <c:val>
            <c:numRef>
              <c:f>Moving_Average_Analysis!$B$2:$B$51</c:f>
              <c:numCache>
                <c:formatCode>General</c:formatCode>
                <c:ptCount val="50"/>
                <c:pt idx="0">
                  <c:v>1047</c:v>
                </c:pt>
                <c:pt idx="1">
                  <c:v>517</c:v>
                </c:pt>
                <c:pt idx="2">
                  <c:v>893</c:v>
                </c:pt>
                <c:pt idx="3">
                  <c:v>629</c:v>
                </c:pt>
                <c:pt idx="4">
                  <c:v>-219</c:v>
                </c:pt>
                <c:pt idx="5">
                  <c:v>1672</c:v>
                </c:pt>
                <c:pt idx="6">
                  <c:v>1845</c:v>
                </c:pt>
                <c:pt idx="7">
                  <c:v>159</c:v>
                </c:pt>
                <c:pt idx="8">
                  <c:v>541</c:v>
                </c:pt>
                <c:pt idx="9">
                  <c:v>352</c:v>
                </c:pt>
                <c:pt idx="10">
                  <c:v>1325</c:v>
                </c:pt>
                <c:pt idx="11">
                  <c:v>76</c:v>
                </c:pt>
                <c:pt idx="12">
                  <c:v>1609</c:v>
                </c:pt>
                <c:pt idx="13">
                  <c:v>1247</c:v>
                </c:pt>
                <c:pt idx="14">
                  <c:v>1572</c:v>
                </c:pt>
                <c:pt idx="15">
                  <c:v>377</c:v>
                </c:pt>
                <c:pt idx="16">
                  <c:v>666</c:v>
                </c:pt>
                <c:pt idx="17">
                  <c:v>1025</c:v>
                </c:pt>
                <c:pt idx="18">
                  <c:v>1872</c:v>
                </c:pt>
                <c:pt idx="19">
                  <c:v>1224</c:v>
                </c:pt>
                <c:pt idx="20">
                  <c:v>262</c:v>
                </c:pt>
                <c:pt idx="21">
                  <c:v>576</c:v>
                </c:pt>
                <c:pt idx="22">
                  <c:v>1397</c:v>
                </c:pt>
                <c:pt idx="23">
                  <c:v>902</c:v>
                </c:pt>
                <c:pt idx="24">
                  <c:v>-49</c:v>
                </c:pt>
                <c:pt idx="25">
                  <c:v>1693</c:v>
                </c:pt>
                <c:pt idx="26">
                  <c:v>1625</c:v>
                </c:pt>
                <c:pt idx="27">
                  <c:v>1119</c:v>
                </c:pt>
                <c:pt idx="28">
                  <c:v>1432</c:v>
                </c:pt>
                <c:pt idx="29">
                  <c:v>684</c:v>
                </c:pt>
                <c:pt idx="30">
                  <c:v>1765</c:v>
                </c:pt>
                <c:pt idx="31">
                  <c:v>903</c:v>
                </c:pt>
                <c:pt idx="32">
                  <c:v>1722</c:v>
                </c:pt>
                <c:pt idx="33">
                  <c:v>1572</c:v>
                </c:pt>
                <c:pt idx="34">
                  <c:v>-166</c:v>
                </c:pt>
                <c:pt idx="35">
                  <c:v>1080</c:v>
                </c:pt>
                <c:pt idx="36">
                  <c:v>1723</c:v>
                </c:pt>
                <c:pt idx="37">
                  <c:v>965</c:v>
                </c:pt>
                <c:pt idx="38">
                  <c:v>1375</c:v>
                </c:pt>
                <c:pt idx="39">
                  <c:v>1315</c:v>
                </c:pt>
                <c:pt idx="40">
                  <c:v>212</c:v>
                </c:pt>
                <c:pt idx="41">
                  <c:v>680</c:v>
                </c:pt>
                <c:pt idx="42">
                  <c:v>461</c:v>
                </c:pt>
                <c:pt idx="43">
                  <c:v>641</c:v>
                </c:pt>
                <c:pt idx="44">
                  <c:v>167</c:v>
                </c:pt>
                <c:pt idx="45">
                  <c:v>-160</c:v>
                </c:pt>
                <c:pt idx="46">
                  <c:v>603</c:v>
                </c:pt>
                <c:pt idx="47">
                  <c:v>1539</c:v>
                </c:pt>
                <c:pt idx="48">
                  <c:v>1881</c:v>
                </c:pt>
                <c:pt idx="49">
                  <c:v>1656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52-48F1-9EC2-DED14E25A372}"/>
            </c:ext>
          </c:extLst>
        </c:ser>
        <c:ser>
          <c:idx val="1"/>
          <c:order val="1"/>
          <c:tx>
            <c:strRef>
              <c:f>Moving_Average_Analysis!$C$1</c:f>
              <c:strCache>
                <c:ptCount val="1"/>
                <c:pt idx="0">
                  <c:v>3_Week_MA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Moving_Average_Analysis!$A$2:$A$51</c:f>
              <c:numCache>
                <c:formatCode>m/d/yyyy</c:formatCode>
                <c:ptCount val="50"/>
                <c:pt idx="0">
                  <c:v>45446</c:v>
                </c:pt>
                <c:pt idx="1">
                  <c:v>45450</c:v>
                </c:pt>
                <c:pt idx="2">
                  <c:v>45454</c:v>
                </c:pt>
                <c:pt idx="3">
                  <c:v>45458</c:v>
                </c:pt>
                <c:pt idx="4">
                  <c:v>45462</c:v>
                </c:pt>
                <c:pt idx="5">
                  <c:v>45466</c:v>
                </c:pt>
                <c:pt idx="6">
                  <c:v>45470</c:v>
                </c:pt>
                <c:pt idx="7">
                  <c:v>45474</c:v>
                </c:pt>
                <c:pt idx="8">
                  <c:v>45478</c:v>
                </c:pt>
                <c:pt idx="9">
                  <c:v>45482</c:v>
                </c:pt>
                <c:pt idx="10">
                  <c:v>45486</c:v>
                </c:pt>
                <c:pt idx="11">
                  <c:v>45490</c:v>
                </c:pt>
                <c:pt idx="12">
                  <c:v>45494</c:v>
                </c:pt>
                <c:pt idx="13">
                  <c:v>45498</c:v>
                </c:pt>
                <c:pt idx="14">
                  <c:v>45502</c:v>
                </c:pt>
                <c:pt idx="15">
                  <c:v>45506</c:v>
                </c:pt>
                <c:pt idx="16">
                  <c:v>45510</c:v>
                </c:pt>
                <c:pt idx="17">
                  <c:v>45514</c:v>
                </c:pt>
                <c:pt idx="18">
                  <c:v>45518</c:v>
                </c:pt>
                <c:pt idx="19">
                  <c:v>45522</c:v>
                </c:pt>
                <c:pt idx="20">
                  <c:v>45526</c:v>
                </c:pt>
                <c:pt idx="21">
                  <c:v>45530</c:v>
                </c:pt>
                <c:pt idx="22">
                  <c:v>45534</c:v>
                </c:pt>
                <c:pt idx="23">
                  <c:v>45538</c:v>
                </c:pt>
                <c:pt idx="24">
                  <c:v>45542</c:v>
                </c:pt>
                <c:pt idx="25">
                  <c:v>45546</c:v>
                </c:pt>
                <c:pt idx="26">
                  <c:v>45550</c:v>
                </c:pt>
                <c:pt idx="27">
                  <c:v>45554</c:v>
                </c:pt>
                <c:pt idx="28">
                  <c:v>45558</c:v>
                </c:pt>
                <c:pt idx="29">
                  <c:v>45562</c:v>
                </c:pt>
                <c:pt idx="30">
                  <c:v>45566</c:v>
                </c:pt>
                <c:pt idx="31">
                  <c:v>45570</c:v>
                </c:pt>
                <c:pt idx="32">
                  <c:v>45574</c:v>
                </c:pt>
                <c:pt idx="33">
                  <c:v>45578</c:v>
                </c:pt>
                <c:pt idx="34">
                  <c:v>45582</c:v>
                </c:pt>
                <c:pt idx="35">
                  <c:v>45586</c:v>
                </c:pt>
                <c:pt idx="36">
                  <c:v>45590</c:v>
                </c:pt>
                <c:pt idx="37">
                  <c:v>45594</c:v>
                </c:pt>
                <c:pt idx="38">
                  <c:v>45598</c:v>
                </c:pt>
                <c:pt idx="39">
                  <c:v>45602</c:v>
                </c:pt>
                <c:pt idx="40">
                  <c:v>45606</c:v>
                </c:pt>
                <c:pt idx="41">
                  <c:v>45610</c:v>
                </c:pt>
                <c:pt idx="42">
                  <c:v>45614</c:v>
                </c:pt>
                <c:pt idx="43">
                  <c:v>45618</c:v>
                </c:pt>
                <c:pt idx="44">
                  <c:v>45622</c:v>
                </c:pt>
                <c:pt idx="45">
                  <c:v>45626</c:v>
                </c:pt>
                <c:pt idx="46">
                  <c:v>45630</c:v>
                </c:pt>
                <c:pt idx="47">
                  <c:v>45634</c:v>
                </c:pt>
                <c:pt idx="48">
                  <c:v>45638</c:v>
                </c:pt>
                <c:pt idx="49">
                  <c:v>45642</c:v>
                </c:pt>
              </c:numCache>
            </c:numRef>
          </c:cat>
          <c:val>
            <c:numRef>
              <c:f>Moving_Average_Analysis!$C$2:$C$51</c:f>
              <c:numCache>
                <c:formatCode>General</c:formatCode>
                <c:ptCount val="50"/>
                <c:pt idx="2">
                  <c:v>819</c:v>
                </c:pt>
                <c:pt idx="3">
                  <c:v>679.66666666666663</c:v>
                </c:pt>
                <c:pt idx="4">
                  <c:v>434.33333333333331</c:v>
                </c:pt>
                <c:pt idx="5">
                  <c:v>694</c:v>
                </c:pt>
                <c:pt idx="6">
                  <c:v>1099.3333333333333</c:v>
                </c:pt>
                <c:pt idx="7">
                  <c:v>1225.3333333333333</c:v>
                </c:pt>
                <c:pt idx="8">
                  <c:v>848.33333333333337</c:v>
                </c:pt>
                <c:pt idx="9">
                  <c:v>350.66666666666669</c:v>
                </c:pt>
                <c:pt idx="10">
                  <c:v>739.33333333333337</c:v>
                </c:pt>
                <c:pt idx="11">
                  <c:v>584.33333333333337</c:v>
                </c:pt>
                <c:pt idx="12">
                  <c:v>1003.3333333333334</c:v>
                </c:pt>
                <c:pt idx="13">
                  <c:v>977.33333333333337</c:v>
                </c:pt>
                <c:pt idx="14">
                  <c:v>1476</c:v>
                </c:pt>
                <c:pt idx="15">
                  <c:v>1065.3333333333333</c:v>
                </c:pt>
                <c:pt idx="16">
                  <c:v>871.66666666666663</c:v>
                </c:pt>
                <c:pt idx="17">
                  <c:v>689.33333333333337</c:v>
                </c:pt>
                <c:pt idx="18">
                  <c:v>1187.6666666666667</c:v>
                </c:pt>
                <c:pt idx="19">
                  <c:v>1373.6666666666667</c:v>
                </c:pt>
                <c:pt idx="20">
                  <c:v>1119.3333333333333</c:v>
                </c:pt>
                <c:pt idx="21">
                  <c:v>687.33333333333337</c:v>
                </c:pt>
                <c:pt idx="22">
                  <c:v>745</c:v>
                </c:pt>
                <c:pt idx="23">
                  <c:v>958.33333333333337</c:v>
                </c:pt>
                <c:pt idx="24">
                  <c:v>750</c:v>
                </c:pt>
                <c:pt idx="25">
                  <c:v>848.66666666666663</c:v>
                </c:pt>
                <c:pt idx="26">
                  <c:v>1089.6666666666667</c:v>
                </c:pt>
                <c:pt idx="27">
                  <c:v>1479</c:v>
                </c:pt>
                <c:pt idx="28">
                  <c:v>1392</c:v>
                </c:pt>
                <c:pt idx="29">
                  <c:v>1078.3333333333333</c:v>
                </c:pt>
                <c:pt idx="30">
                  <c:v>1293.6666666666667</c:v>
                </c:pt>
                <c:pt idx="31">
                  <c:v>1117.3333333333333</c:v>
                </c:pt>
                <c:pt idx="32">
                  <c:v>1463.3333333333333</c:v>
                </c:pt>
                <c:pt idx="33">
                  <c:v>1399</c:v>
                </c:pt>
                <c:pt idx="34">
                  <c:v>1042.6666666666667</c:v>
                </c:pt>
                <c:pt idx="35">
                  <c:v>828.66666666666663</c:v>
                </c:pt>
                <c:pt idx="36">
                  <c:v>879</c:v>
                </c:pt>
                <c:pt idx="37">
                  <c:v>1256</c:v>
                </c:pt>
                <c:pt idx="38">
                  <c:v>1354.3333333333333</c:v>
                </c:pt>
                <c:pt idx="39">
                  <c:v>1218.3333333333333</c:v>
                </c:pt>
                <c:pt idx="40">
                  <c:v>967.33333333333337</c:v>
                </c:pt>
                <c:pt idx="41">
                  <c:v>735.66666666666663</c:v>
                </c:pt>
                <c:pt idx="42">
                  <c:v>451</c:v>
                </c:pt>
                <c:pt idx="43">
                  <c:v>594</c:v>
                </c:pt>
                <c:pt idx="44">
                  <c:v>423</c:v>
                </c:pt>
                <c:pt idx="45">
                  <c:v>216</c:v>
                </c:pt>
                <c:pt idx="46">
                  <c:v>203.33333333333334</c:v>
                </c:pt>
                <c:pt idx="47">
                  <c:v>660.66666666666663</c:v>
                </c:pt>
                <c:pt idx="48">
                  <c:v>1341</c:v>
                </c:pt>
                <c:pt idx="49">
                  <c:v>1692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52-48F1-9EC2-DED14E25A3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7141152"/>
        <c:axId val="237140192"/>
      </c:lineChart>
      <c:dateAx>
        <c:axId val="23714115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7140192"/>
        <c:crosses val="autoZero"/>
        <c:auto val="1"/>
        <c:lblOffset val="100"/>
        <c:baseTimeUnit val="days"/>
      </c:dateAx>
      <c:valAx>
        <c:axId val="237140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7141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178776</xdr:colOff>
      <xdr:row>4</xdr:row>
      <xdr:rowOff>133936</xdr:rowOff>
    </xdr:from>
    <xdr:to>
      <xdr:col>17</xdr:col>
      <xdr:colOff>483576</xdr:colOff>
      <xdr:row>19</xdr:row>
      <xdr:rowOff>133936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A3B72E-6A59-A493-2357-771B2B6A04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419100</xdr:colOff>
      <xdr:row>2</xdr:row>
      <xdr:rowOff>102870</xdr:rowOff>
    </xdr:from>
    <xdr:to>
      <xdr:col>14</xdr:col>
      <xdr:colOff>114300</xdr:colOff>
      <xdr:row>17</xdr:row>
      <xdr:rowOff>102870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EC680B-4398-589F-6DCA-02AF039E77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556260</xdr:colOff>
      <xdr:row>2</xdr:row>
      <xdr:rowOff>171450</xdr:rowOff>
    </xdr:from>
    <xdr:to>
      <xdr:col>12</xdr:col>
      <xdr:colOff>251460</xdr:colOff>
      <xdr:row>17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C8F1CD7-22FA-3FF6-6C4D-3CF6482258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riharsha Reddy" refreshedDate="46032.577473726851" createdVersion="8" refreshedVersion="8" minRefreshableVersion="3" recordCount="200" xr:uid="{7447EC66-48D1-41B9-832A-2F6F9D0B2226}">
  <cacheSource type="worksheet">
    <worksheetSource name="Table1"/>
  </cacheSource>
  <cacheFields count="10">
    <cacheField name="Week_Start_Date" numFmtId="14">
      <sharedItems containsSemiMixedTypes="0" containsNonDate="0" containsDate="1" containsString="0" minDate="2024-06-03T00:00:00" maxDate="2024-12-20T00:00:00" count="200"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</sharedItems>
      <fieldGroup par="9"/>
    </cacheField>
    <cacheField name="Platform" numFmtId="0">
      <sharedItems count="4">
        <s v="Instagram"/>
        <s v="Facebook"/>
        <s v="Twitter"/>
        <s v="YouTube"/>
      </sharedItems>
    </cacheField>
    <cacheField name="New_Followers" numFmtId="0">
      <sharedItems containsSemiMixedTypes="0" containsString="0" containsNumber="1" containsInteger="1" minValue="115" maxValue="1980"/>
    </cacheField>
    <cacheField name="Unfollows" numFmtId="0">
      <sharedItems containsSemiMixedTypes="0" containsString="0" containsNumber="1" containsInteger="1" minValue="20" maxValue="498"/>
    </cacheField>
    <cacheField name="Total_Followers" numFmtId="0">
      <sharedItems containsSemiMixedTypes="0" containsString="0" containsNumber="1" containsInteger="1" minValue="11435" maxValue="496982"/>
    </cacheField>
    <cacheField name="Engagement_Rate" numFmtId="0">
      <sharedItems containsSemiMixedTypes="0" containsString="0" containsNumber="1" minValue="1.53" maxValue="9.48"/>
    </cacheField>
    <cacheField name="Ad_Spend" numFmtId="0">
      <sharedItems containsSemiMixedTypes="0" containsString="0" containsNumber="1" containsInteger="1" minValue="1083" maxValue="49772"/>
    </cacheField>
    <cacheField name="Net_Follower_Growth" numFmtId="0">
      <sharedItems containsSemiMixedTypes="0" containsString="0" containsNumber="1" containsInteger="1" minValue="-337" maxValue="1881"/>
    </cacheField>
    <cacheField name="Days (Week_Start_Date)" numFmtId="0" databaseField="0">
      <fieldGroup base="0">
        <rangePr groupBy="days" startDate="2024-06-03T00:00:00" endDate="2024-12-20T00:00:00"/>
        <groupItems count="368">
          <s v="&lt;03-06-2024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0-12-2024"/>
        </groupItems>
      </fieldGroup>
    </cacheField>
    <cacheField name="Months (Week_Start_Date)" numFmtId="0" databaseField="0">
      <fieldGroup base="0">
        <rangePr groupBy="months" startDate="2024-06-03T00:00:00" endDate="2024-12-20T00:00:00"/>
        <groupItems count="14">
          <s v="&lt;03-06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-12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n v="1135"/>
    <n v="88"/>
    <n v="344084"/>
    <n v="8.06"/>
    <n v="5904"/>
    <n v="1047"/>
  </r>
  <r>
    <x v="1"/>
    <x v="1"/>
    <n v="1312"/>
    <n v="310"/>
    <n v="42654"/>
    <n v="4.9800000000000004"/>
    <n v="9566"/>
    <n v="1002"/>
  </r>
  <r>
    <x v="2"/>
    <x v="2"/>
    <n v="584"/>
    <n v="169"/>
    <n v="146834"/>
    <n v="8.31"/>
    <n v="26752"/>
    <n v="415"/>
  </r>
  <r>
    <x v="3"/>
    <x v="3"/>
    <n v="1535"/>
    <n v="445"/>
    <n v="395536"/>
    <n v="4.1100000000000003"/>
    <n v="30671"/>
    <n v="1090"/>
  </r>
  <r>
    <x v="4"/>
    <x v="0"/>
    <n v="656"/>
    <n v="139"/>
    <n v="49157"/>
    <n v="9.0500000000000007"/>
    <n v="9920"/>
    <n v="517"/>
  </r>
  <r>
    <x v="5"/>
    <x v="1"/>
    <n v="1697"/>
    <n v="414"/>
    <n v="316555"/>
    <n v="2.37"/>
    <n v="7924"/>
    <n v="1283"/>
  </r>
  <r>
    <x v="6"/>
    <x v="2"/>
    <n v="436"/>
    <n v="250"/>
    <n v="254347"/>
    <n v="4.01"/>
    <n v="8912"/>
    <n v="186"/>
  </r>
  <r>
    <x v="7"/>
    <x v="3"/>
    <n v="1197"/>
    <n v="203"/>
    <n v="413878"/>
    <n v="3.16"/>
    <n v="21205"/>
    <n v="994"/>
  </r>
  <r>
    <x v="8"/>
    <x v="0"/>
    <n v="1048"/>
    <n v="155"/>
    <n v="456946"/>
    <n v="2.46"/>
    <n v="11329"/>
    <n v="893"/>
  </r>
  <r>
    <x v="9"/>
    <x v="1"/>
    <n v="1753"/>
    <n v="371"/>
    <n v="169496"/>
    <n v="8.11"/>
    <n v="46670"/>
    <n v="1382"/>
  </r>
  <r>
    <x v="10"/>
    <x v="2"/>
    <n v="1335"/>
    <n v="40"/>
    <n v="122732"/>
    <n v="8.19"/>
    <n v="22482"/>
    <n v="1295"/>
  </r>
  <r>
    <x v="11"/>
    <x v="3"/>
    <n v="403"/>
    <n v="66"/>
    <n v="382851"/>
    <n v="3.49"/>
    <n v="24313"/>
    <n v="337"/>
  </r>
  <r>
    <x v="12"/>
    <x v="0"/>
    <n v="911"/>
    <n v="282"/>
    <n v="35664"/>
    <n v="6.92"/>
    <n v="18050"/>
    <n v="629"/>
  </r>
  <r>
    <x v="13"/>
    <x v="1"/>
    <n v="1779"/>
    <n v="109"/>
    <n v="26295"/>
    <n v="9.1199999999999992"/>
    <n v="30635"/>
    <n v="1670"/>
  </r>
  <r>
    <x v="14"/>
    <x v="2"/>
    <n v="1238"/>
    <n v="403"/>
    <n v="298421"/>
    <n v="3.5"/>
    <n v="31280"/>
    <n v="835"/>
  </r>
  <r>
    <x v="15"/>
    <x v="3"/>
    <n v="308"/>
    <n v="431"/>
    <n v="426184"/>
    <n v="2.62"/>
    <n v="1783"/>
    <n v="-123"/>
  </r>
  <r>
    <x v="16"/>
    <x v="0"/>
    <n v="226"/>
    <n v="445"/>
    <n v="419447"/>
    <n v="9.36"/>
    <n v="9566"/>
    <n v="-219"/>
  </r>
  <r>
    <x v="17"/>
    <x v="1"/>
    <n v="505"/>
    <n v="441"/>
    <n v="220020"/>
    <n v="4.4800000000000004"/>
    <n v="42307"/>
    <n v="64"/>
  </r>
  <r>
    <x v="18"/>
    <x v="2"/>
    <n v="1420"/>
    <n v="63"/>
    <n v="315305"/>
    <n v="6.19"/>
    <n v="5914"/>
    <n v="1357"/>
  </r>
  <r>
    <x v="19"/>
    <x v="3"/>
    <n v="144"/>
    <n v="53"/>
    <n v="113678"/>
    <n v="8.7200000000000006"/>
    <n v="30060"/>
    <n v="91"/>
  </r>
  <r>
    <x v="20"/>
    <x v="0"/>
    <n v="1757"/>
    <n v="85"/>
    <n v="58223"/>
    <n v="8.74"/>
    <n v="22728"/>
    <n v="1672"/>
  </r>
  <r>
    <x v="21"/>
    <x v="1"/>
    <n v="350"/>
    <n v="41"/>
    <n v="251694"/>
    <n v="1.91"/>
    <n v="38610"/>
    <n v="309"/>
  </r>
  <r>
    <x v="22"/>
    <x v="2"/>
    <n v="987"/>
    <n v="440"/>
    <n v="389810"/>
    <n v="4.66"/>
    <n v="2932"/>
    <n v="547"/>
  </r>
  <r>
    <x v="23"/>
    <x v="3"/>
    <n v="883"/>
    <n v="369"/>
    <n v="233694"/>
    <n v="2.88"/>
    <n v="15071"/>
    <n v="514"/>
  </r>
  <r>
    <x v="24"/>
    <x v="0"/>
    <n v="1960"/>
    <n v="115"/>
    <n v="154169"/>
    <n v="3.74"/>
    <n v="10740"/>
    <n v="1845"/>
  </r>
  <r>
    <x v="25"/>
    <x v="1"/>
    <n v="170"/>
    <n v="334"/>
    <n v="334626"/>
    <n v="6.44"/>
    <n v="43420"/>
    <n v="-164"/>
  </r>
  <r>
    <x v="26"/>
    <x v="2"/>
    <n v="704"/>
    <n v="275"/>
    <n v="226002"/>
    <n v="8.56"/>
    <n v="32393"/>
    <n v="429"/>
  </r>
  <r>
    <x v="27"/>
    <x v="3"/>
    <n v="224"/>
    <n v="64"/>
    <n v="156683"/>
    <n v="4.5599999999999996"/>
    <n v="28474"/>
    <n v="160"/>
  </r>
  <r>
    <x v="28"/>
    <x v="0"/>
    <n v="508"/>
    <n v="349"/>
    <n v="473812"/>
    <n v="7.88"/>
    <n v="17328"/>
    <n v="159"/>
  </r>
  <r>
    <x v="29"/>
    <x v="1"/>
    <n v="1391"/>
    <n v="430"/>
    <n v="295032"/>
    <n v="7.86"/>
    <n v="26067"/>
    <n v="961"/>
  </r>
  <r>
    <x v="30"/>
    <x v="2"/>
    <n v="1701"/>
    <n v="385"/>
    <n v="198278"/>
    <n v="5.34"/>
    <n v="32763"/>
    <n v="1316"/>
  </r>
  <r>
    <x v="31"/>
    <x v="3"/>
    <n v="804"/>
    <n v="487"/>
    <n v="306564"/>
    <n v="5.52"/>
    <n v="26452"/>
    <n v="317"/>
  </r>
  <r>
    <x v="32"/>
    <x v="0"/>
    <n v="653"/>
    <n v="112"/>
    <n v="23664"/>
    <n v="4.05"/>
    <n v="15353"/>
    <n v="541"/>
  </r>
  <r>
    <x v="33"/>
    <x v="1"/>
    <n v="160"/>
    <n v="478"/>
    <n v="435034"/>
    <n v="7.73"/>
    <n v="4839"/>
    <n v="-318"/>
  </r>
  <r>
    <x v="34"/>
    <x v="2"/>
    <n v="1756"/>
    <n v="261"/>
    <n v="287574"/>
    <n v="4.3600000000000003"/>
    <n v="39272"/>
    <n v="1495"/>
  </r>
  <r>
    <x v="35"/>
    <x v="3"/>
    <n v="576"/>
    <n v="101"/>
    <n v="62499"/>
    <n v="3.48"/>
    <n v="16804"/>
    <n v="475"/>
  </r>
  <r>
    <x v="36"/>
    <x v="0"/>
    <n v="645"/>
    <n v="293"/>
    <n v="437968"/>
    <n v="7.83"/>
    <n v="49303"/>
    <n v="352"/>
  </r>
  <r>
    <x v="37"/>
    <x v="1"/>
    <n v="214"/>
    <n v="411"/>
    <n v="125034"/>
    <n v="6.11"/>
    <n v="26455"/>
    <n v="-197"/>
  </r>
  <r>
    <x v="38"/>
    <x v="2"/>
    <n v="826"/>
    <n v="498"/>
    <n v="449994"/>
    <n v="9.43"/>
    <n v="12384"/>
    <n v="328"/>
  </r>
  <r>
    <x v="39"/>
    <x v="3"/>
    <n v="460"/>
    <n v="141"/>
    <n v="320650"/>
    <n v="4.04"/>
    <n v="49372"/>
    <n v="319"/>
  </r>
  <r>
    <x v="40"/>
    <x v="0"/>
    <n v="1528"/>
    <n v="203"/>
    <n v="489188"/>
    <n v="6.23"/>
    <n v="47101"/>
    <n v="1325"/>
  </r>
  <r>
    <x v="41"/>
    <x v="1"/>
    <n v="1534"/>
    <n v="200"/>
    <n v="307612"/>
    <n v="6.01"/>
    <n v="37903"/>
    <n v="1334"/>
  </r>
  <r>
    <x v="42"/>
    <x v="2"/>
    <n v="485"/>
    <n v="448"/>
    <n v="434883"/>
    <n v="8.5500000000000007"/>
    <n v="33258"/>
    <n v="37"/>
  </r>
  <r>
    <x v="43"/>
    <x v="3"/>
    <n v="1210"/>
    <n v="178"/>
    <n v="102042"/>
    <n v="5.42"/>
    <n v="6915"/>
    <n v="1032"/>
  </r>
  <r>
    <x v="44"/>
    <x v="0"/>
    <n v="215"/>
    <n v="139"/>
    <n v="325444"/>
    <n v="3.25"/>
    <n v="35501"/>
    <n v="76"/>
  </r>
  <r>
    <x v="45"/>
    <x v="1"/>
    <n v="1078"/>
    <n v="20"/>
    <n v="183924"/>
    <n v="8.84"/>
    <n v="14203"/>
    <n v="1058"/>
  </r>
  <r>
    <x v="46"/>
    <x v="2"/>
    <n v="1751"/>
    <n v="86"/>
    <n v="188655"/>
    <n v="7.24"/>
    <n v="22206"/>
    <n v="1665"/>
  </r>
  <r>
    <x v="47"/>
    <x v="3"/>
    <n v="221"/>
    <n v="31"/>
    <n v="87443"/>
    <n v="6.19"/>
    <n v="10283"/>
    <n v="190"/>
  </r>
  <r>
    <x v="48"/>
    <x v="0"/>
    <n v="1685"/>
    <n v="76"/>
    <n v="453799"/>
    <n v="5.71"/>
    <n v="24913"/>
    <n v="1609"/>
  </r>
  <r>
    <x v="49"/>
    <x v="1"/>
    <n v="248"/>
    <n v="211"/>
    <n v="379380"/>
    <n v="9.0399999999999991"/>
    <n v="26925"/>
    <n v="37"/>
  </r>
  <r>
    <x v="50"/>
    <x v="2"/>
    <n v="1300"/>
    <n v="71"/>
    <n v="186454"/>
    <n v="3.91"/>
    <n v="9942"/>
    <n v="1229"/>
  </r>
  <r>
    <x v="51"/>
    <x v="3"/>
    <n v="422"/>
    <n v="394"/>
    <n v="239044"/>
    <n v="7.83"/>
    <n v="32929"/>
    <n v="28"/>
  </r>
  <r>
    <x v="52"/>
    <x v="0"/>
    <n v="1429"/>
    <n v="182"/>
    <n v="101332"/>
    <n v="7.16"/>
    <n v="37829"/>
    <n v="1247"/>
  </r>
  <r>
    <x v="53"/>
    <x v="1"/>
    <n v="1520"/>
    <n v="475"/>
    <n v="496982"/>
    <n v="6.41"/>
    <n v="24384"/>
    <n v="1045"/>
  </r>
  <r>
    <x v="54"/>
    <x v="2"/>
    <n v="557"/>
    <n v="360"/>
    <n v="318779"/>
    <n v="8.02"/>
    <n v="25797"/>
    <n v="197"/>
  </r>
  <r>
    <x v="55"/>
    <x v="3"/>
    <n v="728"/>
    <n v="395"/>
    <n v="370971"/>
    <n v="3.86"/>
    <n v="12646"/>
    <n v="333"/>
  </r>
  <r>
    <x v="56"/>
    <x v="0"/>
    <n v="1592"/>
    <n v="20"/>
    <n v="378054"/>
    <n v="9.09"/>
    <n v="26663"/>
    <n v="1572"/>
  </r>
  <r>
    <x v="57"/>
    <x v="1"/>
    <n v="1842"/>
    <n v="414"/>
    <n v="307524"/>
    <n v="1.76"/>
    <n v="40478"/>
    <n v="1428"/>
  </r>
  <r>
    <x v="58"/>
    <x v="2"/>
    <n v="751"/>
    <n v="491"/>
    <n v="434047"/>
    <n v="9.24"/>
    <n v="15476"/>
    <n v="260"/>
  </r>
  <r>
    <x v="59"/>
    <x v="3"/>
    <n v="1409"/>
    <n v="309"/>
    <n v="64583"/>
    <n v="8.99"/>
    <n v="10217"/>
    <n v="1100"/>
  </r>
  <r>
    <x v="60"/>
    <x v="0"/>
    <n v="778"/>
    <n v="401"/>
    <n v="50793"/>
    <n v="3.4"/>
    <n v="21939"/>
    <n v="377"/>
  </r>
  <r>
    <x v="61"/>
    <x v="1"/>
    <n v="443"/>
    <n v="345"/>
    <n v="474162"/>
    <n v="9.1999999999999993"/>
    <n v="47462"/>
    <n v="98"/>
  </r>
  <r>
    <x v="62"/>
    <x v="2"/>
    <n v="1472"/>
    <n v="347"/>
    <n v="392355"/>
    <n v="8.59"/>
    <n v="30270"/>
    <n v="1125"/>
  </r>
  <r>
    <x v="63"/>
    <x v="3"/>
    <n v="123"/>
    <n v="155"/>
    <n v="119934"/>
    <n v="3.5"/>
    <n v="5442"/>
    <n v="-32"/>
  </r>
  <r>
    <x v="64"/>
    <x v="0"/>
    <n v="817"/>
    <n v="151"/>
    <n v="422625"/>
    <n v="2.36"/>
    <n v="1083"/>
    <n v="666"/>
  </r>
  <r>
    <x v="65"/>
    <x v="1"/>
    <n v="198"/>
    <n v="217"/>
    <n v="239753"/>
    <n v="7.36"/>
    <n v="11901"/>
    <n v="-19"/>
  </r>
  <r>
    <x v="66"/>
    <x v="2"/>
    <n v="1911"/>
    <n v="231"/>
    <n v="268516"/>
    <n v="8.5500000000000007"/>
    <n v="24018"/>
    <n v="1680"/>
  </r>
  <r>
    <x v="67"/>
    <x v="3"/>
    <n v="1218"/>
    <n v="212"/>
    <n v="63177"/>
    <n v="8.1300000000000008"/>
    <n v="38883"/>
    <n v="1006"/>
  </r>
  <r>
    <x v="68"/>
    <x v="0"/>
    <n v="1433"/>
    <n v="408"/>
    <n v="370269"/>
    <n v="3.3"/>
    <n v="30575"/>
    <n v="1025"/>
  </r>
  <r>
    <x v="69"/>
    <x v="1"/>
    <n v="250"/>
    <n v="429"/>
    <n v="453423"/>
    <n v="1.77"/>
    <n v="2315"/>
    <n v="-179"/>
  </r>
  <r>
    <x v="70"/>
    <x v="2"/>
    <n v="752"/>
    <n v="153"/>
    <n v="64906"/>
    <n v="2.09"/>
    <n v="12148"/>
    <n v="599"/>
  </r>
  <r>
    <x v="71"/>
    <x v="3"/>
    <n v="1918"/>
    <n v="212"/>
    <n v="94360"/>
    <n v="7.36"/>
    <n v="36851"/>
    <n v="1706"/>
  </r>
  <r>
    <x v="72"/>
    <x v="0"/>
    <n v="1939"/>
    <n v="67"/>
    <n v="187183"/>
    <n v="6.25"/>
    <n v="41215"/>
    <n v="1872"/>
  </r>
  <r>
    <x v="73"/>
    <x v="1"/>
    <n v="1929"/>
    <n v="267"/>
    <n v="379363"/>
    <n v="1.75"/>
    <n v="43836"/>
    <n v="1662"/>
  </r>
  <r>
    <x v="74"/>
    <x v="2"/>
    <n v="437"/>
    <n v="330"/>
    <n v="476486"/>
    <n v="4.97"/>
    <n v="4509"/>
    <n v="107"/>
  </r>
  <r>
    <x v="75"/>
    <x v="3"/>
    <n v="307"/>
    <n v="189"/>
    <n v="117767"/>
    <n v="9.3000000000000007"/>
    <n v="27822"/>
    <n v="118"/>
  </r>
  <r>
    <x v="76"/>
    <x v="0"/>
    <n v="1527"/>
    <n v="303"/>
    <n v="388555"/>
    <n v="8.9"/>
    <n v="36397"/>
    <n v="1224"/>
  </r>
  <r>
    <x v="77"/>
    <x v="1"/>
    <n v="643"/>
    <n v="358"/>
    <n v="157599"/>
    <n v="3.88"/>
    <n v="7285"/>
    <n v="285"/>
  </r>
  <r>
    <x v="78"/>
    <x v="2"/>
    <n v="201"/>
    <n v="221"/>
    <n v="309772"/>
    <n v="5.9"/>
    <n v="33174"/>
    <n v="-20"/>
  </r>
  <r>
    <x v="79"/>
    <x v="3"/>
    <n v="414"/>
    <n v="47"/>
    <n v="199178"/>
    <n v="1.53"/>
    <n v="6742"/>
    <n v="367"/>
  </r>
  <r>
    <x v="80"/>
    <x v="0"/>
    <n v="703"/>
    <n v="441"/>
    <n v="357089"/>
    <n v="6.5"/>
    <n v="32478"/>
    <n v="262"/>
  </r>
  <r>
    <x v="81"/>
    <x v="1"/>
    <n v="508"/>
    <n v="69"/>
    <n v="23492"/>
    <n v="3.16"/>
    <n v="42824"/>
    <n v="439"/>
  </r>
  <r>
    <x v="82"/>
    <x v="2"/>
    <n v="697"/>
    <n v="61"/>
    <n v="258287"/>
    <n v="8.25"/>
    <n v="21208"/>
    <n v="636"/>
  </r>
  <r>
    <x v="83"/>
    <x v="3"/>
    <n v="1707"/>
    <n v="223"/>
    <n v="256910"/>
    <n v="5.41"/>
    <n v="44321"/>
    <n v="1484"/>
  </r>
  <r>
    <x v="84"/>
    <x v="0"/>
    <n v="642"/>
    <n v="66"/>
    <n v="346522"/>
    <n v="5.85"/>
    <n v="13116"/>
    <n v="576"/>
  </r>
  <r>
    <x v="85"/>
    <x v="1"/>
    <n v="859"/>
    <n v="473"/>
    <n v="209987"/>
    <n v="4.46"/>
    <n v="30214"/>
    <n v="386"/>
  </r>
  <r>
    <x v="86"/>
    <x v="2"/>
    <n v="191"/>
    <n v="154"/>
    <n v="240550"/>
    <n v="5.22"/>
    <n v="15827"/>
    <n v="37"/>
  </r>
  <r>
    <x v="87"/>
    <x v="3"/>
    <n v="1814"/>
    <n v="157"/>
    <n v="305827"/>
    <n v="1.99"/>
    <n v="46643"/>
    <n v="1657"/>
  </r>
  <r>
    <x v="88"/>
    <x v="0"/>
    <n v="1466"/>
    <n v="69"/>
    <n v="54935"/>
    <n v="6.85"/>
    <n v="36484"/>
    <n v="1397"/>
  </r>
  <r>
    <x v="89"/>
    <x v="1"/>
    <n v="947"/>
    <n v="407"/>
    <n v="319186"/>
    <n v="3.32"/>
    <n v="4996"/>
    <n v="540"/>
  </r>
  <r>
    <x v="90"/>
    <x v="2"/>
    <n v="1821"/>
    <n v="218"/>
    <n v="439080"/>
    <n v="5.68"/>
    <n v="36095"/>
    <n v="1603"/>
  </r>
  <r>
    <x v="91"/>
    <x v="3"/>
    <n v="1507"/>
    <n v="463"/>
    <n v="258944"/>
    <n v="6.08"/>
    <n v="16443"/>
    <n v="1044"/>
  </r>
  <r>
    <x v="92"/>
    <x v="0"/>
    <n v="1075"/>
    <n v="173"/>
    <n v="51395"/>
    <n v="4.66"/>
    <n v="47812"/>
    <n v="902"/>
  </r>
  <r>
    <x v="93"/>
    <x v="1"/>
    <n v="171"/>
    <n v="277"/>
    <n v="309483"/>
    <n v="8.6999999999999993"/>
    <n v="38452"/>
    <n v="-106"/>
  </r>
  <r>
    <x v="94"/>
    <x v="2"/>
    <n v="1487"/>
    <n v="337"/>
    <n v="87305"/>
    <n v="2.46"/>
    <n v="30428"/>
    <n v="1150"/>
  </r>
  <r>
    <x v="95"/>
    <x v="3"/>
    <n v="454"/>
    <n v="105"/>
    <n v="121091"/>
    <n v="7.97"/>
    <n v="9269"/>
    <n v="349"/>
  </r>
  <r>
    <x v="96"/>
    <x v="0"/>
    <n v="187"/>
    <n v="236"/>
    <n v="51087"/>
    <n v="9.41"/>
    <n v="29533"/>
    <n v="-49"/>
  </r>
  <r>
    <x v="97"/>
    <x v="1"/>
    <n v="513"/>
    <n v="441"/>
    <n v="338847"/>
    <n v="2.68"/>
    <n v="39997"/>
    <n v="72"/>
  </r>
  <r>
    <x v="98"/>
    <x v="2"/>
    <n v="628"/>
    <n v="183"/>
    <n v="487523"/>
    <n v="7.32"/>
    <n v="5391"/>
    <n v="445"/>
  </r>
  <r>
    <x v="99"/>
    <x v="3"/>
    <n v="278"/>
    <n v="218"/>
    <n v="301695"/>
    <n v="4.68"/>
    <n v="22373"/>
    <n v="60"/>
  </r>
  <r>
    <x v="100"/>
    <x v="0"/>
    <n v="1854"/>
    <n v="161"/>
    <n v="282466"/>
    <n v="5.17"/>
    <n v="1810"/>
    <n v="1693"/>
  </r>
  <r>
    <x v="101"/>
    <x v="1"/>
    <n v="1710"/>
    <n v="378"/>
    <n v="336661"/>
    <n v="6.2"/>
    <n v="28498"/>
    <n v="1332"/>
  </r>
  <r>
    <x v="102"/>
    <x v="2"/>
    <n v="330"/>
    <n v="232"/>
    <n v="88455"/>
    <n v="2.69"/>
    <n v="39530"/>
    <n v="98"/>
  </r>
  <r>
    <x v="103"/>
    <x v="3"/>
    <n v="1293"/>
    <n v="408"/>
    <n v="62535"/>
    <n v="8.9"/>
    <n v="37876"/>
    <n v="885"/>
  </r>
  <r>
    <x v="104"/>
    <x v="0"/>
    <n v="1696"/>
    <n v="71"/>
    <n v="421957"/>
    <n v="3.79"/>
    <n v="36103"/>
    <n v="1625"/>
  </r>
  <r>
    <x v="105"/>
    <x v="1"/>
    <n v="1902"/>
    <n v="196"/>
    <n v="470269"/>
    <n v="4.79"/>
    <n v="26103"/>
    <n v="1706"/>
  </r>
  <r>
    <x v="106"/>
    <x v="2"/>
    <n v="1441"/>
    <n v="268"/>
    <n v="309904"/>
    <n v="6.37"/>
    <n v="3455"/>
    <n v="1173"/>
  </r>
  <r>
    <x v="107"/>
    <x v="3"/>
    <n v="452"/>
    <n v="161"/>
    <n v="221274"/>
    <n v="2.65"/>
    <n v="40888"/>
    <n v="291"/>
  </r>
  <r>
    <x v="108"/>
    <x v="0"/>
    <n v="1494"/>
    <n v="375"/>
    <n v="220616"/>
    <n v="1.81"/>
    <n v="22724"/>
    <n v="1119"/>
  </r>
  <r>
    <x v="109"/>
    <x v="1"/>
    <n v="1514"/>
    <n v="141"/>
    <n v="35842"/>
    <n v="7.47"/>
    <n v="18601"/>
    <n v="1373"/>
  </r>
  <r>
    <x v="110"/>
    <x v="2"/>
    <n v="1937"/>
    <n v="210"/>
    <n v="20607"/>
    <n v="4.2"/>
    <n v="20861"/>
    <n v="1727"/>
  </r>
  <r>
    <x v="111"/>
    <x v="3"/>
    <n v="736"/>
    <n v="163"/>
    <n v="451894"/>
    <n v="5.43"/>
    <n v="46625"/>
    <n v="573"/>
  </r>
  <r>
    <x v="112"/>
    <x v="0"/>
    <n v="1502"/>
    <n v="70"/>
    <n v="465553"/>
    <n v="3.32"/>
    <n v="20692"/>
    <n v="1432"/>
  </r>
  <r>
    <x v="113"/>
    <x v="1"/>
    <n v="1623"/>
    <n v="246"/>
    <n v="415815"/>
    <n v="8.11"/>
    <n v="18656"/>
    <n v="1377"/>
  </r>
  <r>
    <x v="114"/>
    <x v="2"/>
    <n v="1592"/>
    <n v="233"/>
    <n v="327183"/>
    <n v="6.66"/>
    <n v="13316"/>
    <n v="1359"/>
  </r>
  <r>
    <x v="115"/>
    <x v="3"/>
    <n v="1004"/>
    <n v="128"/>
    <n v="488901"/>
    <n v="8.09"/>
    <n v="49558"/>
    <n v="876"/>
  </r>
  <r>
    <x v="116"/>
    <x v="0"/>
    <n v="1092"/>
    <n v="408"/>
    <n v="280795"/>
    <n v="8.44"/>
    <n v="4683"/>
    <n v="684"/>
  </r>
  <r>
    <x v="117"/>
    <x v="1"/>
    <n v="1155"/>
    <n v="425"/>
    <n v="93347"/>
    <n v="2.02"/>
    <n v="47502"/>
    <n v="730"/>
  </r>
  <r>
    <x v="118"/>
    <x v="2"/>
    <n v="1137"/>
    <n v="226"/>
    <n v="81119"/>
    <n v="7.74"/>
    <n v="35359"/>
    <n v="911"/>
  </r>
  <r>
    <x v="119"/>
    <x v="3"/>
    <n v="1900"/>
    <n v="311"/>
    <n v="25177"/>
    <n v="2.89"/>
    <n v="14154"/>
    <n v="1589"/>
  </r>
  <r>
    <x v="120"/>
    <x v="0"/>
    <n v="1814"/>
    <n v="49"/>
    <n v="140804"/>
    <n v="1.76"/>
    <n v="4313"/>
    <n v="1765"/>
  </r>
  <r>
    <x v="121"/>
    <x v="1"/>
    <n v="1980"/>
    <n v="204"/>
    <n v="379431"/>
    <n v="3.09"/>
    <n v="25140"/>
    <n v="1776"/>
  </r>
  <r>
    <x v="122"/>
    <x v="2"/>
    <n v="1786"/>
    <n v="257"/>
    <n v="274831"/>
    <n v="4.68"/>
    <n v="9118"/>
    <n v="1529"/>
  </r>
  <r>
    <x v="123"/>
    <x v="3"/>
    <n v="1495"/>
    <n v="35"/>
    <n v="136845"/>
    <n v="4.4800000000000004"/>
    <n v="39931"/>
    <n v="1460"/>
  </r>
  <r>
    <x v="124"/>
    <x v="0"/>
    <n v="1013"/>
    <n v="110"/>
    <n v="466382"/>
    <n v="5.3"/>
    <n v="37132"/>
    <n v="903"/>
  </r>
  <r>
    <x v="125"/>
    <x v="1"/>
    <n v="816"/>
    <n v="196"/>
    <n v="95728"/>
    <n v="8.1999999999999993"/>
    <n v="17951"/>
    <n v="620"/>
  </r>
  <r>
    <x v="126"/>
    <x v="2"/>
    <n v="1633"/>
    <n v="445"/>
    <n v="371156"/>
    <n v="2.2200000000000002"/>
    <n v="2798"/>
    <n v="1188"/>
  </r>
  <r>
    <x v="127"/>
    <x v="3"/>
    <n v="891"/>
    <n v="45"/>
    <n v="95410"/>
    <n v="8.33"/>
    <n v="15045"/>
    <n v="846"/>
  </r>
  <r>
    <x v="128"/>
    <x v="0"/>
    <n v="1855"/>
    <n v="133"/>
    <n v="349413"/>
    <n v="3.3"/>
    <n v="14548"/>
    <n v="1722"/>
  </r>
  <r>
    <x v="129"/>
    <x v="1"/>
    <n v="651"/>
    <n v="353"/>
    <n v="224699"/>
    <n v="5.61"/>
    <n v="45708"/>
    <n v="298"/>
  </r>
  <r>
    <x v="130"/>
    <x v="2"/>
    <n v="118"/>
    <n v="262"/>
    <n v="487896"/>
    <n v="2.56"/>
    <n v="12350"/>
    <n v="-144"/>
  </r>
  <r>
    <x v="131"/>
    <x v="3"/>
    <n v="1331"/>
    <n v="430"/>
    <n v="14437"/>
    <n v="3.29"/>
    <n v="40868"/>
    <n v="901"/>
  </r>
  <r>
    <x v="132"/>
    <x v="0"/>
    <n v="1748"/>
    <n v="176"/>
    <n v="383681"/>
    <n v="9.24"/>
    <n v="43122"/>
    <n v="1572"/>
  </r>
  <r>
    <x v="133"/>
    <x v="1"/>
    <n v="663"/>
    <n v="236"/>
    <n v="479490"/>
    <n v="4.51"/>
    <n v="23853"/>
    <n v="427"/>
  </r>
  <r>
    <x v="134"/>
    <x v="2"/>
    <n v="1040"/>
    <n v="149"/>
    <n v="124404"/>
    <n v="5.23"/>
    <n v="45380"/>
    <n v="891"/>
  </r>
  <r>
    <x v="135"/>
    <x v="3"/>
    <n v="1166"/>
    <n v="442"/>
    <n v="336949"/>
    <n v="4.68"/>
    <n v="7705"/>
    <n v="724"/>
  </r>
  <r>
    <x v="136"/>
    <x v="0"/>
    <n v="115"/>
    <n v="281"/>
    <n v="357265"/>
    <n v="9.23"/>
    <n v="25525"/>
    <n v="-166"/>
  </r>
  <r>
    <x v="137"/>
    <x v="1"/>
    <n v="1249"/>
    <n v="351"/>
    <n v="321307"/>
    <n v="6.37"/>
    <n v="20560"/>
    <n v="898"/>
  </r>
  <r>
    <x v="138"/>
    <x v="2"/>
    <n v="1501"/>
    <n v="75"/>
    <n v="262569"/>
    <n v="2.0099999999999998"/>
    <n v="19119"/>
    <n v="1426"/>
  </r>
  <r>
    <x v="139"/>
    <x v="3"/>
    <n v="1411"/>
    <n v="186"/>
    <n v="461669"/>
    <n v="3.72"/>
    <n v="43999"/>
    <n v="1225"/>
  </r>
  <r>
    <x v="140"/>
    <x v="0"/>
    <n v="1556"/>
    <n v="476"/>
    <n v="351556"/>
    <n v="3.89"/>
    <n v="10825"/>
    <n v="1080"/>
  </r>
  <r>
    <x v="141"/>
    <x v="1"/>
    <n v="1159"/>
    <n v="411"/>
    <n v="135987"/>
    <n v="8.6999999999999993"/>
    <n v="40323"/>
    <n v="748"/>
  </r>
  <r>
    <x v="142"/>
    <x v="2"/>
    <n v="927"/>
    <n v="358"/>
    <n v="177554"/>
    <n v="6.95"/>
    <n v="48270"/>
    <n v="569"/>
  </r>
  <r>
    <x v="143"/>
    <x v="3"/>
    <n v="152"/>
    <n v="355"/>
    <n v="270766"/>
    <n v="9.48"/>
    <n v="18001"/>
    <n v="-203"/>
  </r>
  <r>
    <x v="144"/>
    <x v="0"/>
    <n v="1957"/>
    <n v="234"/>
    <n v="222126"/>
    <n v="4.6100000000000003"/>
    <n v="3314"/>
    <n v="1723"/>
  </r>
  <r>
    <x v="145"/>
    <x v="1"/>
    <n v="1294"/>
    <n v="382"/>
    <n v="309914"/>
    <n v="8.0299999999999994"/>
    <n v="23489"/>
    <n v="912"/>
  </r>
  <r>
    <x v="146"/>
    <x v="2"/>
    <n v="1587"/>
    <n v="385"/>
    <n v="126582"/>
    <n v="6.99"/>
    <n v="42832"/>
    <n v="1202"/>
  </r>
  <r>
    <x v="147"/>
    <x v="3"/>
    <n v="1707"/>
    <n v="263"/>
    <n v="485280"/>
    <n v="9.0299999999999994"/>
    <n v="24494"/>
    <n v="1444"/>
  </r>
  <r>
    <x v="148"/>
    <x v="0"/>
    <n v="1138"/>
    <n v="173"/>
    <n v="453243"/>
    <n v="2.86"/>
    <n v="44097"/>
    <n v="965"/>
  </r>
  <r>
    <x v="149"/>
    <x v="1"/>
    <n v="1895"/>
    <n v="305"/>
    <n v="104967"/>
    <n v="3.85"/>
    <n v="31853"/>
    <n v="1590"/>
  </r>
  <r>
    <x v="150"/>
    <x v="2"/>
    <n v="362"/>
    <n v="399"/>
    <n v="145608"/>
    <n v="7.3"/>
    <n v="37636"/>
    <n v="-37"/>
  </r>
  <r>
    <x v="151"/>
    <x v="3"/>
    <n v="1662"/>
    <n v="487"/>
    <n v="105980"/>
    <n v="9.08"/>
    <n v="22996"/>
    <n v="1175"/>
  </r>
  <r>
    <x v="152"/>
    <x v="0"/>
    <n v="1440"/>
    <n v="65"/>
    <n v="126524"/>
    <n v="4.34"/>
    <n v="49772"/>
    <n v="1375"/>
  </r>
  <r>
    <x v="153"/>
    <x v="1"/>
    <n v="1884"/>
    <n v="177"/>
    <n v="230448"/>
    <n v="7.8"/>
    <n v="22713"/>
    <n v="1707"/>
  </r>
  <r>
    <x v="154"/>
    <x v="2"/>
    <n v="861"/>
    <n v="153"/>
    <n v="317007"/>
    <n v="3.85"/>
    <n v="8718"/>
    <n v="708"/>
  </r>
  <r>
    <x v="155"/>
    <x v="3"/>
    <n v="1063"/>
    <n v="47"/>
    <n v="464239"/>
    <n v="6.58"/>
    <n v="39031"/>
    <n v="1016"/>
  </r>
  <r>
    <x v="156"/>
    <x v="0"/>
    <n v="1371"/>
    <n v="56"/>
    <n v="257579"/>
    <n v="8.6199999999999992"/>
    <n v="33799"/>
    <n v="1315"/>
  </r>
  <r>
    <x v="157"/>
    <x v="1"/>
    <n v="345"/>
    <n v="464"/>
    <n v="366881"/>
    <n v="4.55"/>
    <n v="20553"/>
    <n v="-119"/>
  </r>
  <r>
    <x v="158"/>
    <x v="2"/>
    <n v="946"/>
    <n v="47"/>
    <n v="466575"/>
    <n v="8.33"/>
    <n v="10002"/>
    <n v="899"/>
  </r>
  <r>
    <x v="159"/>
    <x v="3"/>
    <n v="510"/>
    <n v="195"/>
    <n v="224534"/>
    <n v="9.4"/>
    <n v="30987"/>
    <n v="315"/>
  </r>
  <r>
    <x v="160"/>
    <x v="0"/>
    <n v="393"/>
    <n v="181"/>
    <n v="462142"/>
    <n v="7.23"/>
    <n v="6296"/>
    <n v="212"/>
  </r>
  <r>
    <x v="161"/>
    <x v="1"/>
    <n v="1098"/>
    <n v="190"/>
    <n v="340842"/>
    <n v="9.39"/>
    <n v="21539"/>
    <n v="908"/>
  </r>
  <r>
    <x v="162"/>
    <x v="2"/>
    <n v="1399"/>
    <n v="49"/>
    <n v="12471"/>
    <n v="5.12"/>
    <n v="14722"/>
    <n v="1350"/>
  </r>
  <r>
    <x v="163"/>
    <x v="3"/>
    <n v="1658"/>
    <n v="416"/>
    <n v="98397"/>
    <n v="6.11"/>
    <n v="11383"/>
    <n v="1242"/>
  </r>
  <r>
    <x v="164"/>
    <x v="0"/>
    <n v="1102"/>
    <n v="422"/>
    <n v="410330"/>
    <n v="7.74"/>
    <n v="9480"/>
    <n v="680"/>
  </r>
  <r>
    <x v="165"/>
    <x v="1"/>
    <n v="1358"/>
    <n v="242"/>
    <n v="342129"/>
    <n v="4.9400000000000004"/>
    <n v="29116"/>
    <n v="1116"/>
  </r>
  <r>
    <x v="166"/>
    <x v="2"/>
    <n v="1077"/>
    <n v="216"/>
    <n v="12447"/>
    <n v="1.8"/>
    <n v="14068"/>
    <n v="861"/>
  </r>
  <r>
    <x v="167"/>
    <x v="3"/>
    <n v="1596"/>
    <n v="211"/>
    <n v="17380"/>
    <n v="8.64"/>
    <n v="35801"/>
    <n v="1385"/>
  </r>
  <r>
    <x v="168"/>
    <x v="0"/>
    <n v="490"/>
    <n v="29"/>
    <n v="364810"/>
    <n v="1.53"/>
    <n v="49077"/>
    <n v="461"/>
  </r>
  <r>
    <x v="169"/>
    <x v="1"/>
    <n v="609"/>
    <n v="135"/>
    <n v="373606"/>
    <n v="8.52"/>
    <n v="21453"/>
    <n v="474"/>
  </r>
  <r>
    <x v="170"/>
    <x v="2"/>
    <n v="364"/>
    <n v="72"/>
    <n v="211090"/>
    <n v="5.53"/>
    <n v="21061"/>
    <n v="292"/>
  </r>
  <r>
    <x v="171"/>
    <x v="3"/>
    <n v="442"/>
    <n v="53"/>
    <n v="441931"/>
    <n v="1.87"/>
    <n v="20059"/>
    <n v="389"/>
  </r>
  <r>
    <x v="172"/>
    <x v="0"/>
    <n v="1033"/>
    <n v="392"/>
    <n v="282780"/>
    <n v="6.27"/>
    <n v="23140"/>
    <n v="641"/>
  </r>
  <r>
    <x v="173"/>
    <x v="1"/>
    <n v="988"/>
    <n v="474"/>
    <n v="370070"/>
    <n v="9.4600000000000009"/>
    <n v="23461"/>
    <n v="514"/>
  </r>
  <r>
    <x v="174"/>
    <x v="2"/>
    <n v="1946"/>
    <n v="270"/>
    <n v="198350"/>
    <n v="7.5"/>
    <n v="11805"/>
    <n v="1676"/>
  </r>
  <r>
    <x v="175"/>
    <x v="3"/>
    <n v="1957"/>
    <n v="490"/>
    <n v="435726"/>
    <n v="4.7300000000000004"/>
    <n v="15969"/>
    <n v="1467"/>
  </r>
  <r>
    <x v="176"/>
    <x v="0"/>
    <n v="559"/>
    <n v="392"/>
    <n v="78789"/>
    <n v="3.19"/>
    <n v="2436"/>
    <n v="167"/>
  </r>
  <r>
    <x v="177"/>
    <x v="1"/>
    <n v="1307"/>
    <n v="278"/>
    <n v="98596"/>
    <n v="2.4900000000000002"/>
    <n v="47603"/>
    <n v="1029"/>
  </r>
  <r>
    <x v="178"/>
    <x v="2"/>
    <n v="1432"/>
    <n v="425"/>
    <n v="29589"/>
    <n v="4.5"/>
    <n v="42964"/>
    <n v="1007"/>
  </r>
  <r>
    <x v="179"/>
    <x v="3"/>
    <n v="623"/>
    <n v="414"/>
    <n v="290354"/>
    <n v="6.49"/>
    <n v="39923"/>
    <n v="209"/>
  </r>
  <r>
    <x v="180"/>
    <x v="0"/>
    <n v="198"/>
    <n v="358"/>
    <n v="66682"/>
    <n v="6.73"/>
    <n v="2293"/>
    <n v="-160"/>
  </r>
  <r>
    <x v="181"/>
    <x v="1"/>
    <n v="198"/>
    <n v="373"/>
    <n v="70707"/>
    <n v="4.83"/>
    <n v="25920"/>
    <n v="-175"/>
  </r>
  <r>
    <x v="182"/>
    <x v="2"/>
    <n v="353"/>
    <n v="300"/>
    <n v="142507"/>
    <n v="5.3"/>
    <n v="11035"/>
    <n v="53"/>
  </r>
  <r>
    <x v="183"/>
    <x v="3"/>
    <n v="520"/>
    <n v="375"/>
    <n v="369525"/>
    <n v="6.54"/>
    <n v="20733"/>
    <n v="145"/>
  </r>
  <r>
    <x v="184"/>
    <x v="0"/>
    <n v="961"/>
    <n v="358"/>
    <n v="62942"/>
    <n v="6.8"/>
    <n v="18693"/>
    <n v="603"/>
  </r>
  <r>
    <x v="185"/>
    <x v="1"/>
    <n v="1375"/>
    <n v="330"/>
    <n v="377382"/>
    <n v="2.6"/>
    <n v="7875"/>
    <n v="1045"/>
  </r>
  <r>
    <x v="186"/>
    <x v="2"/>
    <n v="1147"/>
    <n v="388"/>
    <n v="333851"/>
    <n v="2.44"/>
    <n v="8471"/>
    <n v="759"/>
  </r>
  <r>
    <x v="187"/>
    <x v="3"/>
    <n v="1707"/>
    <n v="74"/>
    <n v="270958"/>
    <n v="3.09"/>
    <n v="14090"/>
    <n v="1633"/>
  </r>
  <r>
    <x v="188"/>
    <x v="0"/>
    <n v="1693"/>
    <n v="154"/>
    <n v="445944"/>
    <n v="5.69"/>
    <n v="14216"/>
    <n v="1539"/>
  </r>
  <r>
    <x v="189"/>
    <x v="1"/>
    <n v="833"/>
    <n v="380"/>
    <n v="224830"/>
    <n v="3.86"/>
    <n v="3582"/>
    <n v="453"/>
  </r>
  <r>
    <x v="190"/>
    <x v="2"/>
    <n v="1222"/>
    <n v="274"/>
    <n v="487289"/>
    <n v="3.16"/>
    <n v="32500"/>
    <n v="948"/>
  </r>
  <r>
    <x v="191"/>
    <x v="3"/>
    <n v="777"/>
    <n v="140"/>
    <n v="11435"/>
    <n v="1.6"/>
    <n v="6832"/>
    <n v="637"/>
  </r>
  <r>
    <x v="192"/>
    <x v="0"/>
    <n v="1957"/>
    <n v="76"/>
    <n v="447902"/>
    <n v="6.09"/>
    <n v="33381"/>
    <n v="1881"/>
  </r>
  <r>
    <x v="193"/>
    <x v="1"/>
    <n v="405"/>
    <n v="66"/>
    <n v="418696"/>
    <n v="5.59"/>
    <n v="48419"/>
    <n v="339"/>
  </r>
  <r>
    <x v="194"/>
    <x v="2"/>
    <n v="1581"/>
    <n v="71"/>
    <n v="484364"/>
    <n v="3.55"/>
    <n v="16149"/>
    <n v="1510"/>
  </r>
  <r>
    <x v="195"/>
    <x v="3"/>
    <n v="1035"/>
    <n v="171"/>
    <n v="148477"/>
    <n v="5.21"/>
    <n v="7541"/>
    <n v="864"/>
  </r>
  <r>
    <x v="196"/>
    <x v="0"/>
    <n v="1765"/>
    <n v="109"/>
    <n v="468301"/>
    <n v="1.82"/>
    <n v="20042"/>
    <n v="1656"/>
  </r>
  <r>
    <x v="197"/>
    <x v="1"/>
    <n v="837"/>
    <n v="430"/>
    <n v="364820"/>
    <n v="4"/>
    <n v="49400"/>
    <n v="407"/>
  </r>
  <r>
    <x v="198"/>
    <x v="2"/>
    <n v="337"/>
    <n v="68"/>
    <n v="456298"/>
    <n v="7.57"/>
    <n v="4007"/>
    <n v="269"/>
  </r>
  <r>
    <x v="199"/>
    <x v="3"/>
    <n v="119"/>
    <n v="456"/>
    <n v="82558"/>
    <n v="6.81"/>
    <n v="12174"/>
    <n v="-3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CE5DAB-21FD-4040-B314-42AB7554C35F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F12" firstHeaderRow="1" firstDataRow="2" firstDataCol="1"/>
  <pivotFields count="10">
    <pivotField axis="axisRow" numFmtId="14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axis="axisCol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9"/>
    <field x="8"/>
    <field x="0"/>
  </rowFields>
  <rowItems count="8"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Net_Follower_Growth" fld="7" baseField="0" baseItem="0"/>
  </dataFields>
  <chartFormats count="4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B13C62-9576-4472-BB83-7D564752AD47}" name="Table1" displayName="Table1" ref="A1:H201" totalsRowShown="0">
  <autoFilter ref="A1:H201" xr:uid="{BEB13C62-9576-4472-BB83-7D564752AD47}"/>
  <sortState xmlns:xlrd2="http://schemas.microsoft.com/office/spreadsheetml/2017/richdata2" ref="A2:H201">
    <sortCondition descending="1" ref="H2:H201"/>
  </sortState>
  <tableColumns count="8">
    <tableColumn id="1" xr3:uid="{AD8FE196-6346-4305-823B-6DACA4E4A544}" name="Week_Start_Date"/>
    <tableColumn id="2" xr3:uid="{165CD6BC-C57D-4FD8-BC9D-1BAFFD332EFB}" name="Platform"/>
    <tableColumn id="3" xr3:uid="{B9E29A5E-CC9A-4BC7-82CE-E6EADDBB3A1B}" name="New_Followers"/>
    <tableColumn id="4" xr3:uid="{0B700C35-FD88-4413-BE5C-6A5DCAB6ECCA}" name="Unfollows"/>
    <tableColumn id="5" xr3:uid="{342438C1-2FCD-4D43-ADFB-B57D41B2AB0C}" name="Total_Followers"/>
    <tableColumn id="6" xr3:uid="{AD4D53E5-B9C5-4254-9B52-A1122D09628A}" name="Engagement_Rate"/>
    <tableColumn id="7" xr3:uid="{1AC5535E-B70B-4D36-9E8E-A5D22D0874AB}" name="Ad_Spend"/>
    <tableColumn id="8" xr3:uid="{440B6B4A-F279-4E49-957B-4553BA333DE4}" name="Net_Follower_Growth">
      <calculatedColumnFormula>C2-D2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BAD7DB9-EEFF-4C29-AAF8-BF1E7578A703}" name="Table2" displayName="Table2" ref="A1:C51" totalsRowShown="0">
  <autoFilter ref="A1:C51" xr:uid="{BBAD7DB9-EEFF-4C29-AAF8-BF1E7578A703}"/>
  <tableColumns count="3">
    <tableColumn id="1" xr3:uid="{850A8780-FD5D-42E6-A299-10B0B85188A0}" name="Week_Start_Date" dataDxfId="1"/>
    <tableColumn id="2" xr3:uid="{7A30BC81-C438-4AFD-916B-DD940984AF1D}" name="Net_Follower_Growth"/>
    <tableColumn id="3" xr3:uid="{5BFB28E6-411D-41A4-A63D-EF75E7391DC5}" name="3_Week_M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1FB0A-1657-4B6F-A621-D94E4C475B43}">
  <dimension ref="A1:G201"/>
  <sheetViews>
    <sheetView tabSelected="1" workbookViewId="0">
      <selection activeCell="L9" sqref="L9"/>
    </sheetView>
  </sheetViews>
  <sheetFormatPr defaultRowHeight="14.4" x14ac:dyDescent="0.3"/>
  <sheetData>
    <row r="1" spans="1:7" ht="29.3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29.35" thickBot="1" x14ac:dyDescent="0.35">
      <c r="A2" s="4">
        <v>45446</v>
      </c>
      <c r="B2" s="5" t="s">
        <v>7</v>
      </c>
      <c r="C2" s="6">
        <v>1135</v>
      </c>
      <c r="D2" s="6">
        <v>88</v>
      </c>
      <c r="E2" s="6">
        <v>344084</v>
      </c>
      <c r="F2" s="6">
        <v>8.06</v>
      </c>
      <c r="G2" s="6">
        <v>5904</v>
      </c>
    </row>
    <row r="3" spans="1:7" ht="14.95" thickBot="1" x14ac:dyDescent="0.35">
      <c r="A3" s="4">
        <v>45446</v>
      </c>
      <c r="B3" s="5" t="s">
        <v>8</v>
      </c>
      <c r="C3" s="6">
        <v>1312</v>
      </c>
      <c r="D3" s="6">
        <v>310</v>
      </c>
      <c r="E3" s="6">
        <v>42654</v>
      </c>
      <c r="F3" s="6">
        <v>4.9800000000000004</v>
      </c>
      <c r="G3" s="6">
        <v>9566</v>
      </c>
    </row>
    <row r="4" spans="1:7" ht="14.95" thickBot="1" x14ac:dyDescent="0.35">
      <c r="A4" s="4">
        <v>45446</v>
      </c>
      <c r="B4" s="5" t="s">
        <v>9</v>
      </c>
      <c r="C4" s="6">
        <v>584</v>
      </c>
      <c r="D4" s="6">
        <v>169</v>
      </c>
      <c r="E4" s="6">
        <v>146834</v>
      </c>
      <c r="F4" s="6">
        <v>8.31</v>
      </c>
      <c r="G4" s="6">
        <v>26752</v>
      </c>
    </row>
    <row r="5" spans="1:7" ht="14.95" thickBot="1" x14ac:dyDescent="0.35">
      <c r="A5" s="4">
        <v>45446</v>
      </c>
      <c r="B5" s="5" t="s">
        <v>10</v>
      </c>
      <c r="C5" s="6">
        <v>1535</v>
      </c>
      <c r="D5" s="6">
        <v>445</v>
      </c>
      <c r="E5" s="6">
        <v>395536</v>
      </c>
      <c r="F5" s="6">
        <v>4.1100000000000003</v>
      </c>
      <c r="G5" s="6">
        <v>30671</v>
      </c>
    </row>
    <row r="6" spans="1:7" ht="29.35" thickBot="1" x14ac:dyDescent="0.35">
      <c r="A6" s="4">
        <v>45453</v>
      </c>
      <c r="B6" s="5" t="s">
        <v>7</v>
      </c>
      <c r="C6" s="6">
        <v>656</v>
      </c>
      <c r="D6" s="6">
        <v>139</v>
      </c>
      <c r="E6" s="6">
        <v>49157</v>
      </c>
      <c r="F6" s="6">
        <v>9.0500000000000007</v>
      </c>
      <c r="G6" s="6">
        <v>9920</v>
      </c>
    </row>
    <row r="7" spans="1:7" ht="14.95" thickBot="1" x14ac:dyDescent="0.35">
      <c r="A7" s="4">
        <v>45453</v>
      </c>
      <c r="B7" s="5" t="s">
        <v>8</v>
      </c>
      <c r="C7" s="6">
        <v>1697</v>
      </c>
      <c r="D7" s="6">
        <v>414</v>
      </c>
      <c r="E7" s="6">
        <v>316555</v>
      </c>
      <c r="F7" s="6">
        <v>2.37</v>
      </c>
      <c r="G7" s="6">
        <v>7924</v>
      </c>
    </row>
    <row r="8" spans="1:7" ht="14.95" thickBot="1" x14ac:dyDescent="0.35">
      <c r="A8" s="4">
        <v>45453</v>
      </c>
      <c r="B8" s="5" t="s">
        <v>9</v>
      </c>
      <c r="C8" s="6">
        <v>436</v>
      </c>
      <c r="D8" s="6">
        <v>250</v>
      </c>
      <c r="E8" s="6">
        <v>254347</v>
      </c>
      <c r="F8" s="6">
        <v>4.01</v>
      </c>
      <c r="G8" s="6">
        <v>8912</v>
      </c>
    </row>
    <row r="9" spans="1:7" ht="14.95" thickBot="1" x14ac:dyDescent="0.35">
      <c r="A9" s="4">
        <v>45453</v>
      </c>
      <c r="B9" s="5" t="s">
        <v>10</v>
      </c>
      <c r="C9" s="6">
        <v>1197</v>
      </c>
      <c r="D9" s="6">
        <v>203</v>
      </c>
      <c r="E9" s="6">
        <v>413878</v>
      </c>
      <c r="F9" s="6">
        <v>3.16</v>
      </c>
      <c r="G9" s="6">
        <v>21205</v>
      </c>
    </row>
    <row r="10" spans="1:7" ht="29.35" thickBot="1" x14ac:dyDescent="0.35">
      <c r="A10" s="4">
        <v>45460</v>
      </c>
      <c r="B10" s="5" t="s">
        <v>7</v>
      </c>
      <c r="C10" s="6">
        <v>1048</v>
      </c>
      <c r="D10" s="6">
        <v>155</v>
      </c>
      <c r="E10" s="6">
        <v>456946</v>
      </c>
      <c r="F10" s="6">
        <v>2.46</v>
      </c>
      <c r="G10" s="6">
        <v>11329</v>
      </c>
    </row>
    <row r="11" spans="1:7" ht="14.95" thickBot="1" x14ac:dyDescent="0.35">
      <c r="A11" s="4">
        <v>45460</v>
      </c>
      <c r="B11" s="5" t="s">
        <v>8</v>
      </c>
      <c r="C11" s="6">
        <v>1753</v>
      </c>
      <c r="D11" s="6">
        <v>371</v>
      </c>
      <c r="E11" s="6">
        <v>169496</v>
      </c>
      <c r="F11" s="6">
        <v>8.11</v>
      </c>
      <c r="G11" s="6">
        <v>46670</v>
      </c>
    </row>
    <row r="12" spans="1:7" ht="14.95" thickBot="1" x14ac:dyDescent="0.35">
      <c r="A12" s="4">
        <v>45460</v>
      </c>
      <c r="B12" s="5" t="s">
        <v>9</v>
      </c>
      <c r="C12" s="6">
        <v>1335</v>
      </c>
      <c r="D12" s="6">
        <v>40</v>
      </c>
      <c r="E12" s="6">
        <v>122732</v>
      </c>
      <c r="F12" s="6">
        <v>8.19</v>
      </c>
      <c r="G12" s="6">
        <v>22482</v>
      </c>
    </row>
    <row r="13" spans="1:7" ht="14.95" thickBot="1" x14ac:dyDescent="0.35">
      <c r="A13" s="4">
        <v>45460</v>
      </c>
      <c r="B13" s="5" t="s">
        <v>10</v>
      </c>
      <c r="C13" s="6">
        <v>403</v>
      </c>
      <c r="D13" s="6">
        <v>66</v>
      </c>
      <c r="E13" s="6">
        <v>382851</v>
      </c>
      <c r="F13" s="6">
        <v>3.49</v>
      </c>
      <c r="G13" s="6">
        <v>24313</v>
      </c>
    </row>
    <row r="14" spans="1:7" ht="29.35" thickBot="1" x14ac:dyDescent="0.35">
      <c r="A14" s="4">
        <v>45467</v>
      </c>
      <c r="B14" s="5" t="s">
        <v>7</v>
      </c>
      <c r="C14" s="6">
        <v>911</v>
      </c>
      <c r="D14" s="6">
        <v>282</v>
      </c>
      <c r="E14" s="6">
        <v>35664</v>
      </c>
      <c r="F14" s="6">
        <v>6.92</v>
      </c>
      <c r="G14" s="6">
        <v>18050</v>
      </c>
    </row>
    <row r="15" spans="1:7" ht="14.95" thickBot="1" x14ac:dyDescent="0.35">
      <c r="A15" s="4">
        <v>45467</v>
      </c>
      <c r="B15" s="5" t="s">
        <v>8</v>
      </c>
      <c r="C15" s="6">
        <v>1779</v>
      </c>
      <c r="D15" s="6">
        <v>109</v>
      </c>
      <c r="E15" s="6">
        <v>26295</v>
      </c>
      <c r="F15" s="6">
        <v>9.1199999999999992</v>
      </c>
      <c r="G15" s="6">
        <v>30635</v>
      </c>
    </row>
    <row r="16" spans="1:7" ht="14.95" thickBot="1" x14ac:dyDescent="0.35">
      <c r="A16" s="4">
        <v>45467</v>
      </c>
      <c r="B16" s="5" t="s">
        <v>9</v>
      </c>
      <c r="C16" s="6">
        <v>1238</v>
      </c>
      <c r="D16" s="6">
        <v>403</v>
      </c>
      <c r="E16" s="6">
        <v>298421</v>
      </c>
      <c r="F16" s="6">
        <v>3.5</v>
      </c>
      <c r="G16" s="6">
        <v>31280</v>
      </c>
    </row>
    <row r="17" spans="1:7" ht="14.95" thickBot="1" x14ac:dyDescent="0.35">
      <c r="A17" s="4">
        <v>45467</v>
      </c>
      <c r="B17" s="5" t="s">
        <v>10</v>
      </c>
      <c r="C17" s="6">
        <v>308</v>
      </c>
      <c r="D17" s="6">
        <v>431</v>
      </c>
      <c r="E17" s="6">
        <v>426184</v>
      </c>
      <c r="F17" s="6">
        <v>2.62</v>
      </c>
      <c r="G17" s="6">
        <v>1783</v>
      </c>
    </row>
    <row r="18" spans="1:7" ht="29.35" thickBot="1" x14ac:dyDescent="0.35">
      <c r="A18" s="4">
        <v>45474</v>
      </c>
      <c r="B18" s="5" t="s">
        <v>7</v>
      </c>
      <c r="C18" s="6">
        <v>226</v>
      </c>
      <c r="D18" s="6">
        <v>445</v>
      </c>
      <c r="E18" s="6">
        <v>419447</v>
      </c>
      <c r="F18" s="6">
        <v>9.36</v>
      </c>
      <c r="G18" s="6">
        <v>9566</v>
      </c>
    </row>
    <row r="19" spans="1:7" ht="14.95" thickBot="1" x14ac:dyDescent="0.35">
      <c r="A19" s="4">
        <v>45474</v>
      </c>
      <c r="B19" s="5" t="s">
        <v>8</v>
      </c>
      <c r="C19" s="6">
        <v>505</v>
      </c>
      <c r="D19" s="6">
        <v>441</v>
      </c>
      <c r="E19" s="6">
        <v>220020</v>
      </c>
      <c r="F19" s="6">
        <v>4.4800000000000004</v>
      </c>
      <c r="G19" s="6">
        <v>42307</v>
      </c>
    </row>
    <row r="20" spans="1:7" ht="14.95" thickBot="1" x14ac:dyDescent="0.35">
      <c r="A20" s="4">
        <v>45474</v>
      </c>
      <c r="B20" s="5" t="s">
        <v>9</v>
      </c>
      <c r="C20" s="6">
        <v>1420</v>
      </c>
      <c r="D20" s="6">
        <v>63</v>
      </c>
      <c r="E20" s="6">
        <v>315305</v>
      </c>
      <c r="F20" s="6">
        <v>6.19</v>
      </c>
      <c r="G20" s="6">
        <v>5914</v>
      </c>
    </row>
    <row r="21" spans="1:7" ht="14.95" thickBot="1" x14ac:dyDescent="0.35">
      <c r="A21" s="4">
        <v>45474</v>
      </c>
      <c r="B21" s="5" t="s">
        <v>10</v>
      </c>
      <c r="C21" s="6">
        <v>144</v>
      </c>
      <c r="D21" s="6">
        <v>53</v>
      </c>
      <c r="E21" s="6">
        <v>113678</v>
      </c>
      <c r="F21" s="6">
        <v>8.7200000000000006</v>
      </c>
      <c r="G21" s="6">
        <v>30060</v>
      </c>
    </row>
    <row r="22" spans="1:7" ht="29.35" thickBot="1" x14ac:dyDescent="0.35">
      <c r="A22" s="4">
        <v>45481</v>
      </c>
      <c r="B22" s="5" t="s">
        <v>7</v>
      </c>
      <c r="C22" s="6">
        <v>1757</v>
      </c>
      <c r="D22" s="6">
        <v>85</v>
      </c>
      <c r="E22" s="6">
        <v>58223</v>
      </c>
      <c r="F22" s="6">
        <v>8.74</v>
      </c>
      <c r="G22" s="6">
        <v>22728</v>
      </c>
    </row>
    <row r="23" spans="1:7" ht="14.95" thickBot="1" x14ac:dyDescent="0.35">
      <c r="A23" s="4">
        <v>45481</v>
      </c>
      <c r="B23" s="5" t="s">
        <v>8</v>
      </c>
      <c r="C23" s="6">
        <v>350</v>
      </c>
      <c r="D23" s="6">
        <v>41</v>
      </c>
      <c r="E23" s="6">
        <v>251694</v>
      </c>
      <c r="F23" s="6">
        <v>1.91</v>
      </c>
      <c r="G23" s="6">
        <v>38610</v>
      </c>
    </row>
    <row r="24" spans="1:7" ht="14.95" thickBot="1" x14ac:dyDescent="0.35">
      <c r="A24" s="4">
        <v>45481</v>
      </c>
      <c r="B24" s="5" t="s">
        <v>9</v>
      </c>
      <c r="C24" s="6">
        <v>987</v>
      </c>
      <c r="D24" s="6">
        <v>440</v>
      </c>
      <c r="E24" s="6">
        <v>389810</v>
      </c>
      <c r="F24" s="6">
        <v>4.66</v>
      </c>
      <c r="G24" s="6">
        <v>2932</v>
      </c>
    </row>
    <row r="25" spans="1:7" ht="14.95" thickBot="1" x14ac:dyDescent="0.35">
      <c r="A25" s="4">
        <v>45481</v>
      </c>
      <c r="B25" s="5" t="s">
        <v>10</v>
      </c>
      <c r="C25" s="6">
        <v>883</v>
      </c>
      <c r="D25" s="6">
        <v>369</v>
      </c>
      <c r="E25" s="6">
        <v>233694</v>
      </c>
      <c r="F25" s="6">
        <v>2.88</v>
      </c>
      <c r="G25" s="6">
        <v>15071</v>
      </c>
    </row>
    <row r="26" spans="1:7" ht="29.35" thickBot="1" x14ac:dyDescent="0.35">
      <c r="A26" s="4">
        <v>45488</v>
      </c>
      <c r="B26" s="5" t="s">
        <v>7</v>
      </c>
      <c r="C26" s="6">
        <v>1960</v>
      </c>
      <c r="D26" s="6">
        <v>115</v>
      </c>
      <c r="E26" s="6">
        <v>154169</v>
      </c>
      <c r="F26" s="6">
        <v>3.74</v>
      </c>
      <c r="G26" s="6">
        <v>10740</v>
      </c>
    </row>
    <row r="27" spans="1:7" ht="14.95" thickBot="1" x14ac:dyDescent="0.35">
      <c r="A27" s="4">
        <v>45488</v>
      </c>
      <c r="B27" s="5" t="s">
        <v>8</v>
      </c>
      <c r="C27" s="6">
        <v>170</v>
      </c>
      <c r="D27" s="6">
        <v>334</v>
      </c>
      <c r="E27" s="6">
        <v>334626</v>
      </c>
      <c r="F27" s="6">
        <v>6.44</v>
      </c>
      <c r="G27" s="6">
        <v>43420</v>
      </c>
    </row>
    <row r="28" spans="1:7" ht="14.95" thickBot="1" x14ac:dyDescent="0.35">
      <c r="A28" s="4">
        <v>45488</v>
      </c>
      <c r="B28" s="5" t="s">
        <v>9</v>
      </c>
      <c r="C28" s="6">
        <v>704</v>
      </c>
      <c r="D28" s="6">
        <v>275</v>
      </c>
      <c r="E28" s="6">
        <v>226002</v>
      </c>
      <c r="F28" s="6">
        <v>8.56</v>
      </c>
      <c r="G28" s="6">
        <v>32393</v>
      </c>
    </row>
    <row r="29" spans="1:7" ht="14.95" thickBot="1" x14ac:dyDescent="0.35">
      <c r="A29" s="4">
        <v>45488</v>
      </c>
      <c r="B29" s="5" t="s">
        <v>10</v>
      </c>
      <c r="C29" s="6">
        <v>224</v>
      </c>
      <c r="D29" s="6">
        <v>64</v>
      </c>
      <c r="E29" s="6">
        <v>156683</v>
      </c>
      <c r="F29" s="6">
        <v>4.5599999999999996</v>
      </c>
      <c r="G29" s="6">
        <v>28474</v>
      </c>
    </row>
    <row r="30" spans="1:7" ht="29.35" thickBot="1" x14ac:dyDescent="0.35">
      <c r="A30" s="4">
        <v>45495</v>
      </c>
      <c r="B30" s="5" t="s">
        <v>7</v>
      </c>
      <c r="C30" s="6">
        <v>508</v>
      </c>
      <c r="D30" s="6">
        <v>349</v>
      </c>
      <c r="E30" s="6">
        <v>473812</v>
      </c>
      <c r="F30" s="6">
        <v>7.88</v>
      </c>
      <c r="G30" s="6">
        <v>17328</v>
      </c>
    </row>
    <row r="31" spans="1:7" ht="14.95" thickBot="1" x14ac:dyDescent="0.35">
      <c r="A31" s="4">
        <v>45495</v>
      </c>
      <c r="B31" s="5" t="s">
        <v>8</v>
      </c>
      <c r="C31" s="6">
        <v>1391</v>
      </c>
      <c r="D31" s="6">
        <v>430</v>
      </c>
      <c r="E31" s="6">
        <v>295032</v>
      </c>
      <c r="F31" s="6">
        <v>7.86</v>
      </c>
      <c r="G31" s="6">
        <v>26067</v>
      </c>
    </row>
    <row r="32" spans="1:7" ht="14.95" thickBot="1" x14ac:dyDescent="0.35">
      <c r="A32" s="4">
        <v>45495</v>
      </c>
      <c r="B32" s="5" t="s">
        <v>9</v>
      </c>
      <c r="C32" s="6">
        <v>1701</v>
      </c>
      <c r="D32" s="6">
        <v>385</v>
      </c>
      <c r="E32" s="6">
        <v>198278</v>
      </c>
      <c r="F32" s="6">
        <v>5.34</v>
      </c>
      <c r="G32" s="6">
        <v>32763</v>
      </c>
    </row>
    <row r="33" spans="1:7" ht="14.95" thickBot="1" x14ac:dyDescent="0.35">
      <c r="A33" s="4">
        <v>45495</v>
      </c>
      <c r="B33" s="5" t="s">
        <v>10</v>
      </c>
      <c r="C33" s="6">
        <v>804</v>
      </c>
      <c r="D33" s="6">
        <v>487</v>
      </c>
      <c r="E33" s="6">
        <v>306564</v>
      </c>
      <c r="F33" s="6">
        <v>5.52</v>
      </c>
      <c r="G33" s="6">
        <v>26452</v>
      </c>
    </row>
    <row r="34" spans="1:7" ht="29.35" thickBot="1" x14ac:dyDescent="0.35">
      <c r="A34" s="4">
        <v>45502</v>
      </c>
      <c r="B34" s="5" t="s">
        <v>7</v>
      </c>
      <c r="C34" s="6">
        <v>653</v>
      </c>
      <c r="D34" s="6">
        <v>112</v>
      </c>
      <c r="E34" s="6">
        <v>23664</v>
      </c>
      <c r="F34" s="6">
        <v>4.05</v>
      </c>
      <c r="G34" s="6">
        <v>15353</v>
      </c>
    </row>
    <row r="35" spans="1:7" ht="14.95" thickBot="1" x14ac:dyDescent="0.35">
      <c r="A35" s="4">
        <v>45502</v>
      </c>
      <c r="B35" s="5" t="s">
        <v>8</v>
      </c>
      <c r="C35" s="6">
        <v>160</v>
      </c>
      <c r="D35" s="6">
        <v>478</v>
      </c>
      <c r="E35" s="6">
        <v>435034</v>
      </c>
      <c r="F35" s="6">
        <v>7.73</v>
      </c>
      <c r="G35" s="6">
        <v>4839</v>
      </c>
    </row>
    <row r="36" spans="1:7" ht="14.95" thickBot="1" x14ac:dyDescent="0.35">
      <c r="A36" s="4">
        <v>45502</v>
      </c>
      <c r="B36" s="5" t="s">
        <v>9</v>
      </c>
      <c r="C36" s="6">
        <v>1756</v>
      </c>
      <c r="D36" s="6">
        <v>261</v>
      </c>
      <c r="E36" s="6">
        <v>287574</v>
      </c>
      <c r="F36" s="6">
        <v>4.3600000000000003</v>
      </c>
      <c r="G36" s="6">
        <v>39272</v>
      </c>
    </row>
    <row r="37" spans="1:7" ht="14.95" thickBot="1" x14ac:dyDescent="0.35">
      <c r="A37" s="4">
        <v>45502</v>
      </c>
      <c r="B37" s="5" t="s">
        <v>10</v>
      </c>
      <c r="C37" s="6">
        <v>576</v>
      </c>
      <c r="D37" s="6">
        <v>101</v>
      </c>
      <c r="E37" s="6">
        <v>62499</v>
      </c>
      <c r="F37" s="6">
        <v>3.48</v>
      </c>
      <c r="G37" s="6">
        <v>16804</v>
      </c>
    </row>
    <row r="38" spans="1:7" ht="29.35" thickBot="1" x14ac:dyDescent="0.35">
      <c r="A38" s="4">
        <v>45509</v>
      </c>
      <c r="B38" s="5" t="s">
        <v>7</v>
      </c>
      <c r="C38" s="6">
        <v>645</v>
      </c>
      <c r="D38" s="6">
        <v>293</v>
      </c>
      <c r="E38" s="6">
        <v>437968</v>
      </c>
      <c r="F38" s="6">
        <v>7.83</v>
      </c>
      <c r="G38" s="6">
        <v>49303</v>
      </c>
    </row>
    <row r="39" spans="1:7" ht="14.95" thickBot="1" x14ac:dyDescent="0.35">
      <c r="A39" s="4">
        <v>45509</v>
      </c>
      <c r="B39" s="5" t="s">
        <v>8</v>
      </c>
      <c r="C39" s="6">
        <v>214</v>
      </c>
      <c r="D39" s="6">
        <v>411</v>
      </c>
      <c r="E39" s="6">
        <v>125034</v>
      </c>
      <c r="F39" s="6">
        <v>6.11</v>
      </c>
      <c r="G39" s="6">
        <v>26455</v>
      </c>
    </row>
    <row r="40" spans="1:7" ht="14.95" thickBot="1" x14ac:dyDescent="0.35">
      <c r="A40" s="4">
        <v>45509</v>
      </c>
      <c r="B40" s="5" t="s">
        <v>9</v>
      </c>
      <c r="C40" s="6">
        <v>826</v>
      </c>
      <c r="D40" s="6">
        <v>498</v>
      </c>
      <c r="E40" s="6">
        <v>449994</v>
      </c>
      <c r="F40" s="6">
        <v>9.43</v>
      </c>
      <c r="G40" s="6">
        <v>12384</v>
      </c>
    </row>
    <row r="41" spans="1:7" ht="14.95" thickBot="1" x14ac:dyDescent="0.35">
      <c r="A41" s="4">
        <v>45509</v>
      </c>
      <c r="B41" s="5" t="s">
        <v>10</v>
      </c>
      <c r="C41" s="6">
        <v>460</v>
      </c>
      <c r="D41" s="6">
        <v>141</v>
      </c>
      <c r="E41" s="6">
        <v>320650</v>
      </c>
      <c r="F41" s="6">
        <v>4.04</v>
      </c>
      <c r="G41" s="6">
        <v>49372</v>
      </c>
    </row>
    <row r="42" spans="1:7" ht="29.35" thickBot="1" x14ac:dyDescent="0.35">
      <c r="A42" s="4">
        <v>45516</v>
      </c>
      <c r="B42" s="5" t="s">
        <v>7</v>
      </c>
      <c r="C42" s="6">
        <v>1528</v>
      </c>
      <c r="D42" s="6">
        <v>203</v>
      </c>
      <c r="E42" s="6">
        <v>489188</v>
      </c>
      <c r="F42" s="6">
        <v>6.23</v>
      </c>
      <c r="G42" s="6">
        <v>47101</v>
      </c>
    </row>
    <row r="43" spans="1:7" ht="14.95" thickBot="1" x14ac:dyDescent="0.35">
      <c r="A43" s="4">
        <v>45516</v>
      </c>
      <c r="B43" s="5" t="s">
        <v>8</v>
      </c>
      <c r="C43" s="6">
        <v>1534</v>
      </c>
      <c r="D43" s="6">
        <v>200</v>
      </c>
      <c r="E43" s="6">
        <v>307612</v>
      </c>
      <c r="F43" s="6">
        <v>6.01</v>
      </c>
      <c r="G43" s="6">
        <v>37903</v>
      </c>
    </row>
    <row r="44" spans="1:7" ht="14.95" thickBot="1" x14ac:dyDescent="0.35">
      <c r="A44" s="4">
        <v>45516</v>
      </c>
      <c r="B44" s="5" t="s">
        <v>9</v>
      </c>
      <c r="C44" s="6">
        <v>485</v>
      </c>
      <c r="D44" s="6">
        <v>448</v>
      </c>
      <c r="E44" s="6">
        <v>434883</v>
      </c>
      <c r="F44" s="6">
        <v>8.5500000000000007</v>
      </c>
      <c r="G44" s="6">
        <v>33258</v>
      </c>
    </row>
    <row r="45" spans="1:7" ht="14.95" thickBot="1" x14ac:dyDescent="0.35">
      <c r="A45" s="4">
        <v>45516</v>
      </c>
      <c r="B45" s="5" t="s">
        <v>10</v>
      </c>
      <c r="C45" s="6">
        <v>1210</v>
      </c>
      <c r="D45" s="6">
        <v>178</v>
      </c>
      <c r="E45" s="6">
        <v>102042</v>
      </c>
      <c r="F45" s="6">
        <v>5.42</v>
      </c>
      <c r="G45" s="6">
        <v>6915</v>
      </c>
    </row>
    <row r="46" spans="1:7" ht="29.35" thickBot="1" x14ac:dyDescent="0.35">
      <c r="A46" s="4">
        <v>45523</v>
      </c>
      <c r="B46" s="5" t="s">
        <v>7</v>
      </c>
      <c r="C46" s="6">
        <v>215</v>
      </c>
      <c r="D46" s="6">
        <v>139</v>
      </c>
      <c r="E46" s="6">
        <v>325444</v>
      </c>
      <c r="F46" s="6">
        <v>3.25</v>
      </c>
      <c r="G46" s="6">
        <v>35501</v>
      </c>
    </row>
    <row r="47" spans="1:7" ht="14.95" thickBot="1" x14ac:dyDescent="0.35">
      <c r="A47" s="4">
        <v>45523</v>
      </c>
      <c r="B47" s="5" t="s">
        <v>8</v>
      </c>
      <c r="C47" s="6">
        <v>1078</v>
      </c>
      <c r="D47" s="6">
        <v>20</v>
      </c>
      <c r="E47" s="6">
        <v>183924</v>
      </c>
      <c r="F47" s="6">
        <v>8.84</v>
      </c>
      <c r="G47" s="6">
        <v>14203</v>
      </c>
    </row>
    <row r="48" spans="1:7" ht="14.95" thickBot="1" x14ac:dyDescent="0.35">
      <c r="A48" s="4">
        <v>45523</v>
      </c>
      <c r="B48" s="5" t="s">
        <v>9</v>
      </c>
      <c r="C48" s="6">
        <v>1751</v>
      </c>
      <c r="D48" s="6">
        <v>86</v>
      </c>
      <c r="E48" s="6">
        <v>188655</v>
      </c>
      <c r="F48" s="6">
        <v>7.24</v>
      </c>
      <c r="G48" s="6">
        <v>22206</v>
      </c>
    </row>
    <row r="49" spans="1:7" ht="14.95" thickBot="1" x14ac:dyDescent="0.35">
      <c r="A49" s="4">
        <v>45523</v>
      </c>
      <c r="B49" s="5" t="s">
        <v>10</v>
      </c>
      <c r="C49" s="6">
        <v>221</v>
      </c>
      <c r="D49" s="6">
        <v>31</v>
      </c>
      <c r="E49" s="6">
        <v>87443</v>
      </c>
      <c r="F49" s="6">
        <v>6.19</v>
      </c>
      <c r="G49" s="6">
        <v>10283</v>
      </c>
    </row>
    <row r="50" spans="1:7" ht="29.35" thickBot="1" x14ac:dyDescent="0.35">
      <c r="A50" s="4">
        <v>45530</v>
      </c>
      <c r="B50" s="5" t="s">
        <v>7</v>
      </c>
      <c r="C50" s="6">
        <v>1685</v>
      </c>
      <c r="D50" s="6">
        <v>76</v>
      </c>
      <c r="E50" s="6">
        <v>453799</v>
      </c>
      <c r="F50" s="6">
        <v>5.71</v>
      </c>
      <c r="G50" s="6">
        <v>24913</v>
      </c>
    </row>
    <row r="51" spans="1:7" ht="14.95" thickBot="1" x14ac:dyDescent="0.35">
      <c r="A51" s="4">
        <v>45530</v>
      </c>
      <c r="B51" s="5" t="s">
        <v>8</v>
      </c>
      <c r="C51" s="6">
        <v>248</v>
      </c>
      <c r="D51" s="6">
        <v>211</v>
      </c>
      <c r="E51" s="6">
        <v>379380</v>
      </c>
      <c r="F51" s="6">
        <v>9.0399999999999991</v>
      </c>
      <c r="G51" s="6">
        <v>26925</v>
      </c>
    </row>
    <row r="52" spans="1:7" ht="14.95" thickBot="1" x14ac:dyDescent="0.35">
      <c r="A52" s="4">
        <v>45530</v>
      </c>
      <c r="B52" s="5" t="s">
        <v>9</v>
      </c>
      <c r="C52" s="6">
        <v>1300</v>
      </c>
      <c r="D52" s="6">
        <v>71</v>
      </c>
      <c r="E52" s="6">
        <v>186454</v>
      </c>
      <c r="F52" s="6">
        <v>3.91</v>
      </c>
      <c r="G52" s="6">
        <v>9942</v>
      </c>
    </row>
    <row r="53" spans="1:7" ht="14.95" thickBot="1" x14ac:dyDescent="0.35">
      <c r="A53" s="4">
        <v>45530</v>
      </c>
      <c r="B53" s="5" t="s">
        <v>10</v>
      </c>
      <c r="C53" s="6">
        <v>422</v>
      </c>
      <c r="D53" s="6">
        <v>394</v>
      </c>
      <c r="E53" s="6">
        <v>239044</v>
      </c>
      <c r="F53" s="6">
        <v>7.83</v>
      </c>
      <c r="G53" s="6">
        <v>32929</v>
      </c>
    </row>
    <row r="54" spans="1:7" ht="29.35" thickBot="1" x14ac:dyDescent="0.35">
      <c r="A54" s="4">
        <v>45537</v>
      </c>
      <c r="B54" s="5" t="s">
        <v>7</v>
      </c>
      <c r="C54" s="6">
        <v>1429</v>
      </c>
      <c r="D54" s="6">
        <v>182</v>
      </c>
      <c r="E54" s="6">
        <v>101332</v>
      </c>
      <c r="F54" s="6">
        <v>7.16</v>
      </c>
      <c r="G54" s="6">
        <v>37829</v>
      </c>
    </row>
    <row r="55" spans="1:7" ht="14.95" thickBot="1" x14ac:dyDescent="0.35">
      <c r="A55" s="4">
        <v>45537</v>
      </c>
      <c r="B55" s="5" t="s">
        <v>8</v>
      </c>
      <c r="C55" s="6">
        <v>1520</v>
      </c>
      <c r="D55" s="6">
        <v>475</v>
      </c>
      <c r="E55" s="6">
        <v>496982</v>
      </c>
      <c r="F55" s="6">
        <v>6.41</v>
      </c>
      <c r="G55" s="6">
        <v>24384</v>
      </c>
    </row>
    <row r="56" spans="1:7" ht="14.95" thickBot="1" x14ac:dyDescent="0.35">
      <c r="A56" s="4">
        <v>45537</v>
      </c>
      <c r="B56" s="5" t="s">
        <v>9</v>
      </c>
      <c r="C56" s="6">
        <v>557</v>
      </c>
      <c r="D56" s="6">
        <v>360</v>
      </c>
      <c r="E56" s="6">
        <v>318779</v>
      </c>
      <c r="F56" s="6">
        <v>8.02</v>
      </c>
      <c r="G56" s="6">
        <v>25797</v>
      </c>
    </row>
    <row r="57" spans="1:7" ht="14.95" thickBot="1" x14ac:dyDescent="0.35">
      <c r="A57" s="4">
        <v>45537</v>
      </c>
      <c r="B57" s="5" t="s">
        <v>10</v>
      </c>
      <c r="C57" s="6">
        <v>728</v>
      </c>
      <c r="D57" s="6">
        <v>395</v>
      </c>
      <c r="E57" s="6">
        <v>370971</v>
      </c>
      <c r="F57" s="6">
        <v>3.86</v>
      </c>
      <c r="G57" s="6">
        <v>12646</v>
      </c>
    </row>
    <row r="58" spans="1:7" ht="29.35" thickBot="1" x14ac:dyDescent="0.35">
      <c r="A58" s="4">
        <v>45544</v>
      </c>
      <c r="B58" s="5" t="s">
        <v>7</v>
      </c>
      <c r="C58" s="6">
        <v>1592</v>
      </c>
      <c r="D58" s="6">
        <v>20</v>
      </c>
      <c r="E58" s="6">
        <v>378054</v>
      </c>
      <c r="F58" s="6">
        <v>9.09</v>
      </c>
      <c r="G58" s="6">
        <v>26663</v>
      </c>
    </row>
    <row r="59" spans="1:7" ht="14.95" thickBot="1" x14ac:dyDescent="0.35">
      <c r="A59" s="4">
        <v>45544</v>
      </c>
      <c r="B59" s="5" t="s">
        <v>8</v>
      </c>
      <c r="C59" s="6">
        <v>1842</v>
      </c>
      <c r="D59" s="6">
        <v>414</v>
      </c>
      <c r="E59" s="6">
        <v>307524</v>
      </c>
      <c r="F59" s="6">
        <v>1.76</v>
      </c>
      <c r="G59" s="6">
        <v>40478</v>
      </c>
    </row>
    <row r="60" spans="1:7" ht="14.95" thickBot="1" x14ac:dyDescent="0.35">
      <c r="A60" s="4">
        <v>45544</v>
      </c>
      <c r="B60" s="5" t="s">
        <v>9</v>
      </c>
      <c r="C60" s="6">
        <v>751</v>
      </c>
      <c r="D60" s="6">
        <v>491</v>
      </c>
      <c r="E60" s="6">
        <v>434047</v>
      </c>
      <c r="F60" s="6">
        <v>9.24</v>
      </c>
      <c r="G60" s="6">
        <v>15476</v>
      </c>
    </row>
    <row r="61" spans="1:7" ht="14.95" thickBot="1" x14ac:dyDescent="0.35">
      <c r="A61" s="4">
        <v>45544</v>
      </c>
      <c r="B61" s="5" t="s">
        <v>10</v>
      </c>
      <c r="C61" s="6">
        <v>1409</v>
      </c>
      <c r="D61" s="6">
        <v>309</v>
      </c>
      <c r="E61" s="6">
        <v>64583</v>
      </c>
      <c r="F61" s="6">
        <v>8.99</v>
      </c>
      <c r="G61" s="6">
        <v>10217</v>
      </c>
    </row>
    <row r="62" spans="1:7" ht="29.35" thickBot="1" x14ac:dyDescent="0.35">
      <c r="A62" s="4">
        <v>45551</v>
      </c>
      <c r="B62" s="5" t="s">
        <v>7</v>
      </c>
      <c r="C62" s="6">
        <v>778</v>
      </c>
      <c r="D62" s="6">
        <v>401</v>
      </c>
      <c r="E62" s="6">
        <v>50793</v>
      </c>
      <c r="F62" s="6">
        <v>3.4</v>
      </c>
      <c r="G62" s="6">
        <v>21939</v>
      </c>
    </row>
    <row r="63" spans="1:7" ht="14.95" thickBot="1" x14ac:dyDescent="0.35">
      <c r="A63" s="4">
        <v>45551</v>
      </c>
      <c r="B63" s="5" t="s">
        <v>8</v>
      </c>
      <c r="C63" s="6">
        <v>443</v>
      </c>
      <c r="D63" s="6">
        <v>345</v>
      </c>
      <c r="E63" s="6">
        <v>474162</v>
      </c>
      <c r="F63" s="6">
        <v>9.1999999999999993</v>
      </c>
      <c r="G63" s="6">
        <v>47462</v>
      </c>
    </row>
    <row r="64" spans="1:7" ht="14.95" thickBot="1" x14ac:dyDescent="0.35">
      <c r="A64" s="4">
        <v>45551</v>
      </c>
      <c r="B64" s="5" t="s">
        <v>9</v>
      </c>
      <c r="C64" s="6">
        <v>1472</v>
      </c>
      <c r="D64" s="6">
        <v>347</v>
      </c>
      <c r="E64" s="6">
        <v>392355</v>
      </c>
      <c r="F64" s="6">
        <v>8.59</v>
      </c>
      <c r="G64" s="6">
        <v>30270</v>
      </c>
    </row>
    <row r="65" spans="1:7" ht="14.95" thickBot="1" x14ac:dyDescent="0.35">
      <c r="A65" s="4">
        <v>45551</v>
      </c>
      <c r="B65" s="5" t="s">
        <v>10</v>
      </c>
      <c r="C65" s="6">
        <v>123</v>
      </c>
      <c r="D65" s="6">
        <v>155</v>
      </c>
      <c r="E65" s="6">
        <v>119934</v>
      </c>
      <c r="F65" s="6">
        <v>3.5</v>
      </c>
      <c r="G65" s="6">
        <v>5442</v>
      </c>
    </row>
    <row r="66" spans="1:7" ht="29.35" thickBot="1" x14ac:dyDescent="0.35">
      <c r="A66" s="4">
        <v>45558</v>
      </c>
      <c r="B66" s="5" t="s">
        <v>7</v>
      </c>
      <c r="C66" s="6">
        <v>817</v>
      </c>
      <c r="D66" s="6">
        <v>151</v>
      </c>
      <c r="E66" s="6">
        <v>422625</v>
      </c>
      <c r="F66" s="6">
        <v>2.36</v>
      </c>
      <c r="G66" s="6">
        <v>1083</v>
      </c>
    </row>
    <row r="67" spans="1:7" ht="14.95" thickBot="1" x14ac:dyDescent="0.35">
      <c r="A67" s="4">
        <v>45558</v>
      </c>
      <c r="B67" s="5" t="s">
        <v>8</v>
      </c>
      <c r="C67" s="6">
        <v>198</v>
      </c>
      <c r="D67" s="6">
        <v>217</v>
      </c>
      <c r="E67" s="6">
        <v>239753</v>
      </c>
      <c r="F67" s="6">
        <v>7.36</v>
      </c>
      <c r="G67" s="6">
        <v>11901</v>
      </c>
    </row>
    <row r="68" spans="1:7" ht="14.95" thickBot="1" x14ac:dyDescent="0.35">
      <c r="A68" s="4">
        <v>45558</v>
      </c>
      <c r="B68" s="5" t="s">
        <v>9</v>
      </c>
      <c r="C68" s="6">
        <v>1911</v>
      </c>
      <c r="D68" s="6">
        <v>231</v>
      </c>
      <c r="E68" s="6">
        <v>268516</v>
      </c>
      <c r="F68" s="6">
        <v>8.5500000000000007</v>
      </c>
      <c r="G68" s="6">
        <v>24018</v>
      </c>
    </row>
    <row r="69" spans="1:7" ht="14.95" thickBot="1" x14ac:dyDescent="0.35">
      <c r="A69" s="4">
        <v>45558</v>
      </c>
      <c r="B69" s="5" t="s">
        <v>10</v>
      </c>
      <c r="C69" s="6">
        <v>1218</v>
      </c>
      <c r="D69" s="6">
        <v>212</v>
      </c>
      <c r="E69" s="6">
        <v>63177</v>
      </c>
      <c r="F69" s="6">
        <v>8.1300000000000008</v>
      </c>
      <c r="G69" s="6">
        <v>38883</v>
      </c>
    </row>
    <row r="70" spans="1:7" ht="29.35" thickBot="1" x14ac:dyDescent="0.35">
      <c r="A70" s="4">
        <v>45565</v>
      </c>
      <c r="B70" s="5" t="s">
        <v>7</v>
      </c>
      <c r="C70" s="6">
        <v>1433</v>
      </c>
      <c r="D70" s="6">
        <v>408</v>
      </c>
      <c r="E70" s="6">
        <v>370269</v>
      </c>
      <c r="F70" s="6">
        <v>3.3</v>
      </c>
      <c r="G70" s="6">
        <v>30575</v>
      </c>
    </row>
    <row r="71" spans="1:7" ht="14.95" thickBot="1" x14ac:dyDescent="0.35">
      <c r="A71" s="4">
        <v>45565</v>
      </c>
      <c r="B71" s="5" t="s">
        <v>8</v>
      </c>
      <c r="C71" s="6">
        <v>250</v>
      </c>
      <c r="D71" s="6">
        <v>429</v>
      </c>
      <c r="E71" s="6">
        <v>453423</v>
      </c>
      <c r="F71" s="6">
        <v>1.77</v>
      </c>
      <c r="G71" s="6">
        <v>2315</v>
      </c>
    </row>
    <row r="72" spans="1:7" ht="14.95" thickBot="1" x14ac:dyDescent="0.35">
      <c r="A72" s="4">
        <v>45565</v>
      </c>
      <c r="B72" s="5" t="s">
        <v>9</v>
      </c>
      <c r="C72" s="6">
        <v>752</v>
      </c>
      <c r="D72" s="6">
        <v>153</v>
      </c>
      <c r="E72" s="6">
        <v>64906</v>
      </c>
      <c r="F72" s="6">
        <v>2.09</v>
      </c>
      <c r="G72" s="6">
        <v>12148</v>
      </c>
    </row>
    <row r="73" spans="1:7" ht="14.95" thickBot="1" x14ac:dyDescent="0.35">
      <c r="A73" s="4">
        <v>45565</v>
      </c>
      <c r="B73" s="5" t="s">
        <v>10</v>
      </c>
      <c r="C73" s="6">
        <v>1918</v>
      </c>
      <c r="D73" s="6">
        <v>212</v>
      </c>
      <c r="E73" s="6">
        <v>94360</v>
      </c>
      <c r="F73" s="6">
        <v>7.36</v>
      </c>
      <c r="G73" s="6">
        <v>36851</v>
      </c>
    </row>
    <row r="74" spans="1:7" ht="29.35" thickBot="1" x14ac:dyDescent="0.35">
      <c r="A74" s="4">
        <v>45572</v>
      </c>
      <c r="B74" s="5" t="s">
        <v>7</v>
      </c>
      <c r="C74" s="6">
        <v>1939</v>
      </c>
      <c r="D74" s="6">
        <v>67</v>
      </c>
      <c r="E74" s="6">
        <v>187183</v>
      </c>
      <c r="F74" s="6">
        <v>6.25</v>
      </c>
      <c r="G74" s="6">
        <v>41215</v>
      </c>
    </row>
    <row r="75" spans="1:7" ht="14.95" thickBot="1" x14ac:dyDescent="0.35">
      <c r="A75" s="4">
        <v>45572</v>
      </c>
      <c r="B75" s="5" t="s">
        <v>8</v>
      </c>
      <c r="C75" s="6">
        <v>1929</v>
      </c>
      <c r="D75" s="6">
        <v>267</v>
      </c>
      <c r="E75" s="6">
        <v>379363</v>
      </c>
      <c r="F75" s="6">
        <v>1.75</v>
      </c>
      <c r="G75" s="6">
        <v>43836</v>
      </c>
    </row>
    <row r="76" spans="1:7" ht="14.95" thickBot="1" x14ac:dyDescent="0.35">
      <c r="A76" s="4">
        <v>45572</v>
      </c>
      <c r="B76" s="5" t="s">
        <v>9</v>
      </c>
      <c r="C76" s="6">
        <v>437</v>
      </c>
      <c r="D76" s="6">
        <v>330</v>
      </c>
      <c r="E76" s="6">
        <v>476486</v>
      </c>
      <c r="F76" s="6">
        <v>4.97</v>
      </c>
      <c r="G76" s="6">
        <v>4509</v>
      </c>
    </row>
    <row r="77" spans="1:7" ht="14.95" thickBot="1" x14ac:dyDescent="0.35">
      <c r="A77" s="4">
        <v>45572</v>
      </c>
      <c r="B77" s="5" t="s">
        <v>10</v>
      </c>
      <c r="C77" s="6">
        <v>307</v>
      </c>
      <c r="D77" s="6">
        <v>189</v>
      </c>
      <c r="E77" s="6">
        <v>117767</v>
      </c>
      <c r="F77" s="6">
        <v>9.3000000000000007</v>
      </c>
      <c r="G77" s="6">
        <v>27822</v>
      </c>
    </row>
    <row r="78" spans="1:7" ht="29.35" thickBot="1" x14ac:dyDescent="0.35">
      <c r="A78" s="4">
        <v>45579</v>
      </c>
      <c r="B78" s="5" t="s">
        <v>7</v>
      </c>
      <c r="C78" s="6">
        <v>1527</v>
      </c>
      <c r="D78" s="6">
        <v>303</v>
      </c>
      <c r="E78" s="6">
        <v>388555</v>
      </c>
      <c r="F78" s="6">
        <v>8.9</v>
      </c>
      <c r="G78" s="6">
        <v>36397</v>
      </c>
    </row>
    <row r="79" spans="1:7" ht="14.95" thickBot="1" x14ac:dyDescent="0.35">
      <c r="A79" s="4">
        <v>45579</v>
      </c>
      <c r="B79" s="5" t="s">
        <v>8</v>
      </c>
      <c r="C79" s="6">
        <v>643</v>
      </c>
      <c r="D79" s="6">
        <v>358</v>
      </c>
      <c r="E79" s="6">
        <v>157599</v>
      </c>
      <c r="F79" s="6">
        <v>3.88</v>
      </c>
      <c r="G79" s="6">
        <v>7285</v>
      </c>
    </row>
    <row r="80" spans="1:7" ht="14.95" thickBot="1" x14ac:dyDescent="0.35">
      <c r="A80" s="4">
        <v>45579</v>
      </c>
      <c r="B80" s="5" t="s">
        <v>9</v>
      </c>
      <c r="C80" s="6">
        <v>201</v>
      </c>
      <c r="D80" s="6">
        <v>221</v>
      </c>
      <c r="E80" s="6">
        <v>309772</v>
      </c>
      <c r="F80" s="6">
        <v>5.9</v>
      </c>
      <c r="G80" s="6">
        <v>33174</v>
      </c>
    </row>
    <row r="81" spans="1:7" ht="14.95" thickBot="1" x14ac:dyDescent="0.35">
      <c r="A81" s="4">
        <v>45579</v>
      </c>
      <c r="B81" s="5" t="s">
        <v>10</v>
      </c>
      <c r="C81" s="6">
        <v>414</v>
      </c>
      <c r="D81" s="6">
        <v>47</v>
      </c>
      <c r="E81" s="6">
        <v>199178</v>
      </c>
      <c r="F81" s="6">
        <v>1.53</v>
      </c>
      <c r="G81" s="6">
        <v>6742</v>
      </c>
    </row>
    <row r="82" spans="1:7" ht="29.35" thickBot="1" x14ac:dyDescent="0.35">
      <c r="A82" s="4">
        <v>45586</v>
      </c>
      <c r="B82" s="5" t="s">
        <v>7</v>
      </c>
      <c r="C82" s="6">
        <v>703</v>
      </c>
      <c r="D82" s="6">
        <v>441</v>
      </c>
      <c r="E82" s="6">
        <v>357089</v>
      </c>
      <c r="F82" s="6">
        <v>6.5</v>
      </c>
      <c r="G82" s="6">
        <v>32478</v>
      </c>
    </row>
    <row r="83" spans="1:7" ht="14.95" thickBot="1" x14ac:dyDescent="0.35">
      <c r="A83" s="4">
        <v>45586</v>
      </c>
      <c r="B83" s="5" t="s">
        <v>8</v>
      </c>
      <c r="C83" s="6">
        <v>508</v>
      </c>
      <c r="D83" s="6">
        <v>69</v>
      </c>
      <c r="E83" s="6">
        <v>23492</v>
      </c>
      <c r="F83" s="6">
        <v>3.16</v>
      </c>
      <c r="G83" s="6">
        <v>42824</v>
      </c>
    </row>
    <row r="84" spans="1:7" ht="14.95" thickBot="1" x14ac:dyDescent="0.35">
      <c r="A84" s="4">
        <v>45586</v>
      </c>
      <c r="B84" s="5" t="s">
        <v>9</v>
      </c>
      <c r="C84" s="6">
        <v>697</v>
      </c>
      <c r="D84" s="6">
        <v>61</v>
      </c>
      <c r="E84" s="6">
        <v>258287</v>
      </c>
      <c r="F84" s="6">
        <v>8.25</v>
      </c>
      <c r="G84" s="6">
        <v>21208</v>
      </c>
    </row>
    <row r="85" spans="1:7" ht="14.95" thickBot="1" x14ac:dyDescent="0.35">
      <c r="A85" s="4">
        <v>45586</v>
      </c>
      <c r="B85" s="5" t="s">
        <v>10</v>
      </c>
      <c r="C85" s="6">
        <v>1707</v>
      </c>
      <c r="D85" s="6">
        <v>223</v>
      </c>
      <c r="E85" s="6">
        <v>256910</v>
      </c>
      <c r="F85" s="6">
        <v>5.41</v>
      </c>
      <c r="G85" s="6">
        <v>44321</v>
      </c>
    </row>
    <row r="86" spans="1:7" ht="29.35" thickBot="1" x14ac:dyDescent="0.35">
      <c r="A86" s="4">
        <v>45593</v>
      </c>
      <c r="B86" s="5" t="s">
        <v>7</v>
      </c>
      <c r="C86" s="6">
        <v>642</v>
      </c>
      <c r="D86" s="6">
        <v>66</v>
      </c>
      <c r="E86" s="6">
        <v>346522</v>
      </c>
      <c r="F86" s="6">
        <v>5.85</v>
      </c>
      <c r="G86" s="6">
        <v>13116</v>
      </c>
    </row>
    <row r="87" spans="1:7" ht="14.95" thickBot="1" x14ac:dyDescent="0.35">
      <c r="A87" s="4">
        <v>45593</v>
      </c>
      <c r="B87" s="5" t="s">
        <v>8</v>
      </c>
      <c r="C87" s="6">
        <v>859</v>
      </c>
      <c r="D87" s="6">
        <v>473</v>
      </c>
      <c r="E87" s="6">
        <v>209987</v>
      </c>
      <c r="F87" s="6">
        <v>4.46</v>
      </c>
      <c r="G87" s="6">
        <v>30214</v>
      </c>
    </row>
    <row r="88" spans="1:7" ht="14.95" thickBot="1" x14ac:dyDescent="0.35">
      <c r="A88" s="4">
        <v>45593</v>
      </c>
      <c r="B88" s="5" t="s">
        <v>9</v>
      </c>
      <c r="C88" s="6">
        <v>191</v>
      </c>
      <c r="D88" s="6">
        <v>154</v>
      </c>
      <c r="E88" s="6">
        <v>240550</v>
      </c>
      <c r="F88" s="6">
        <v>5.22</v>
      </c>
      <c r="G88" s="6">
        <v>15827</v>
      </c>
    </row>
    <row r="89" spans="1:7" ht="14.95" thickBot="1" x14ac:dyDescent="0.35">
      <c r="A89" s="4">
        <v>45593</v>
      </c>
      <c r="B89" s="5" t="s">
        <v>10</v>
      </c>
      <c r="C89" s="6">
        <v>1814</v>
      </c>
      <c r="D89" s="6">
        <v>157</v>
      </c>
      <c r="E89" s="6">
        <v>305827</v>
      </c>
      <c r="F89" s="6">
        <v>1.99</v>
      </c>
      <c r="G89" s="6">
        <v>46643</v>
      </c>
    </row>
    <row r="90" spans="1:7" ht="29.35" thickBot="1" x14ac:dyDescent="0.35">
      <c r="A90" s="4">
        <v>45600</v>
      </c>
      <c r="B90" s="5" t="s">
        <v>7</v>
      </c>
      <c r="C90" s="6">
        <v>1466</v>
      </c>
      <c r="D90" s="6">
        <v>69</v>
      </c>
      <c r="E90" s="6">
        <v>54935</v>
      </c>
      <c r="F90" s="6">
        <v>6.85</v>
      </c>
      <c r="G90" s="6">
        <v>36484</v>
      </c>
    </row>
    <row r="91" spans="1:7" ht="14.95" thickBot="1" x14ac:dyDescent="0.35">
      <c r="A91" s="4">
        <v>45600</v>
      </c>
      <c r="B91" s="5" t="s">
        <v>8</v>
      </c>
      <c r="C91" s="6">
        <v>947</v>
      </c>
      <c r="D91" s="6">
        <v>407</v>
      </c>
      <c r="E91" s="6">
        <v>319186</v>
      </c>
      <c r="F91" s="6">
        <v>3.32</v>
      </c>
      <c r="G91" s="6">
        <v>4996</v>
      </c>
    </row>
    <row r="92" spans="1:7" ht="14.95" thickBot="1" x14ac:dyDescent="0.35">
      <c r="A92" s="4">
        <v>45600</v>
      </c>
      <c r="B92" s="5" t="s">
        <v>9</v>
      </c>
      <c r="C92" s="6">
        <v>1821</v>
      </c>
      <c r="D92" s="6">
        <v>218</v>
      </c>
      <c r="E92" s="6">
        <v>439080</v>
      </c>
      <c r="F92" s="6">
        <v>5.68</v>
      </c>
      <c r="G92" s="6">
        <v>36095</v>
      </c>
    </row>
    <row r="93" spans="1:7" ht="14.95" thickBot="1" x14ac:dyDescent="0.35">
      <c r="A93" s="4">
        <v>45600</v>
      </c>
      <c r="B93" s="5" t="s">
        <v>10</v>
      </c>
      <c r="C93" s="6">
        <v>1507</v>
      </c>
      <c r="D93" s="6">
        <v>463</v>
      </c>
      <c r="E93" s="6">
        <v>258944</v>
      </c>
      <c r="F93" s="6">
        <v>6.08</v>
      </c>
      <c r="G93" s="6">
        <v>16443</v>
      </c>
    </row>
    <row r="94" spans="1:7" ht="29.35" thickBot="1" x14ac:dyDescent="0.35">
      <c r="A94" s="4">
        <v>45607</v>
      </c>
      <c r="B94" s="5" t="s">
        <v>7</v>
      </c>
      <c r="C94" s="6">
        <v>1075</v>
      </c>
      <c r="D94" s="6">
        <v>173</v>
      </c>
      <c r="E94" s="6">
        <v>51395</v>
      </c>
      <c r="F94" s="6">
        <v>4.66</v>
      </c>
      <c r="G94" s="6">
        <v>47812</v>
      </c>
    </row>
    <row r="95" spans="1:7" ht="14.95" thickBot="1" x14ac:dyDescent="0.35">
      <c r="A95" s="4">
        <v>45607</v>
      </c>
      <c r="B95" s="5" t="s">
        <v>8</v>
      </c>
      <c r="C95" s="6">
        <v>171</v>
      </c>
      <c r="D95" s="6">
        <v>277</v>
      </c>
      <c r="E95" s="6">
        <v>309483</v>
      </c>
      <c r="F95" s="6">
        <v>8.6999999999999993</v>
      </c>
      <c r="G95" s="6">
        <v>38452</v>
      </c>
    </row>
    <row r="96" spans="1:7" ht="14.95" thickBot="1" x14ac:dyDescent="0.35">
      <c r="A96" s="4">
        <v>45607</v>
      </c>
      <c r="B96" s="5" t="s">
        <v>9</v>
      </c>
      <c r="C96" s="6">
        <v>1487</v>
      </c>
      <c r="D96" s="6">
        <v>337</v>
      </c>
      <c r="E96" s="6">
        <v>87305</v>
      </c>
      <c r="F96" s="6">
        <v>2.46</v>
      </c>
      <c r="G96" s="6">
        <v>30428</v>
      </c>
    </row>
    <row r="97" spans="1:7" ht="14.95" thickBot="1" x14ac:dyDescent="0.35">
      <c r="A97" s="4">
        <v>45607</v>
      </c>
      <c r="B97" s="5" t="s">
        <v>10</v>
      </c>
      <c r="C97" s="6">
        <v>454</v>
      </c>
      <c r="D97" s="6">
        <v>105</v>
      </c>
      <c r="E97" s="6">
        <v>121091</v>
      </c>
      <c r="F97" s="6">
        <v>7.97</v>
      </c>
      <c r="G97" s="6">
        <v>9269</v>
      </c>
    </row>
    <row r="98" spans="1:7" ht="29.35" thickBot="1" x14ac:dyDescent="0.35">
      <c r="A98" s="4">
        <v>45614</v>
      </c>
      <c r="B98" s="5" t="s">
        <v>7</v>
      </c>
      <c r="C98" s="6">
        <v>187</v>
      </c>
      <c r="D98" s="6">
        <v>236</v>
      </c>
      <c r="E98" s="6">
        <v>51087</v>
      </c>
      <c r="F98" s="6">
        <v>9.41</v>
      </c>
      <c r="G98" s="6">
        <v>29533</v>
      </c>
    </row>
    <row r="99" spans="1:7" ht="14.95" thickBot="1" x14ac:dyDescent="0.35">
      <c r="A99" s="4">
        <v>45614</v>
      </c>
      <c r="B99" s="5" t="s">
        <v>8</v>
      </c>
      <c r="C99" s="6">
        <v>513</v>
      </c>
      <c r="D99" s="6">
        <v>441</v>
      </c>
      <c r="E99" s="6">
        <v>338847</v>
      </c>
      <c r="F99" s="6">
        <v>2.68</v>
      </c>
      <c r="G99" s="6">
        <v>39997</v>
      </c>
    </row>
    <row r="100" spans="1:7" ht="14.95" thickBot="1" x14ac:dyDescent="0.35">
      <c r="A100" s="4">
        <v>45614</v>
      </c>
      <c r="B100" s="5" t="s">
        <v>9</v>
      </c>
      <c r="C100" s="6">
        <v>628</v>
      </c>
      <c r="D100" s="6">
        <v>183</v>
      </c>
      <c r="E100" s="6">
        <v>487523</v>
      </c>
      <c r="F100" s="6">
        <v>7.32</v>
      </c>
      <c r="G100" s="6">
        <v>5391</v>
      </c>
    </row>
    <row r="101" spans="1:7" ht="14.95" thickBot="1" x14ac:dyDescent="0.35">
      <c r="A101" s="4">
        <v>45614</v>
      </c>
      <c r="B101" s="5" t="s">
        <v>10</v>
      </c>
      <c r="C101" s="6">
        <v>278</v>
      </c>
      <c r="D101" s="6">
        <v>218</v>
      </c>
      <c r="E101" s="6">
        <v>301695</v>
      </c>
      <c r="F101" s="6">
        <v>4.68</v>
      </c>
      <c r="G101" s="6">
        <v>22373</v>
      </c>
    </row>
    <row r="102" spans="1:7" ht="29.35" thickBot="1" x14ac:dyDescent="0.35">
      <c r="A102" s="4">
        <v>45621</v>
      </c>
      <c r="B102" s="5" t="s">
        <v>7</v>
      </c>
      <c r="C102" s="6">
        <v>1854</v>
      </c>
      <c r="D102" s="6">
        <v>161</v>
      </c>
      <c r="E102" s="6">
        <v>282466</v>
      </c>
      <c r="F102" s="6">
        <v>5.17</v>
      </c>
      <c r="G102" s="6">
        <v>1810</v>
      </c>
    </row>
    <row r="103" spans="1:7" ht="14.95" thickBot="1" x14ac:dyDescent="0.35">
      <c r="A103" s="4">
        <v>45621</v>
      </c>
      <c r="B103" s="5" t="s">
        <v>8</v>
      </c>
      <c r="C103" s="6">
        <v>1710</v>
      </c>
      <c r="D103" s="6">
        <v>378</v>
      </c>
      <c r="E103" s="6">
        <v>336661</v>
      </c>
      <c r="F103" s="6">
        <v>6.2</v>
      </c>
      <c r="G103" s="6">
        <v>28498</v>
      </c>
    </row>
    <row r="104" spans="1:7" ht="14.95" thickBot="1" x14ac:dyDescent="0.35">
      <c r="A104" s="4">
        <v>45621</v>
      </c>
      <c r="B104" s="5" t="s">
        <v>9</v>
      </c>
      <c r="C104" s="6">
        <v>330</v>
      </c>
      <c r="D104" s="6">
        <v>232</v>
      </c>
      <c r="E104" s="6">
        <v>88455</v>
      </c>
      <c r="F104" s="6">
        <v>2.69</v>
      </c>
      <c r="G104" s="6">
        <v>39530</v>
      </c>
    </row>
    <row r="105" spans="1:7" ht="14.95" thickBot="1" x14ac:dyDescent="0.35">
      <c r="A105" s="4">
        <v>45621</v>
      </c>
      <c r="B105" s="5" t="s">
        <v>10</v>
      </c>
      <c r="C105" s="6">
        <v>1293</v>
      </c>
      <c r="D105" s="6">
        <v>408</v>
      </c>
      <c r="E105" s="6">
        <v>62535</v>
      </c>
      <c r="F105" s="6">
        <v>8.9</v>
      </c>
      <c r="G105" s="6">
        <v>37876</v>
      </c>
    </row>
    <row r="106" spans="1:7" ht="29.35" thickBot="1" x14ac:dyDescent="0.35">
      <c r="A106" s="4">
        <v>45628</v>
      </c>
      <c r="B106" s="5" t="s">
        <v>7</v>
      </c>
      <c r="C106" s="6">
        <v>1696</v>
      </c>
      <c r="D106" s="6">
        <v>71</v>
      </c>
      <c r="E106" s="6">
        <v>421957</v>
      </c>
      <c r="F106" s="6">
        <v>3.79</v>
      </c>
      <c r="G106" s="6">
        <v>36103</v>
      </c>
    </row>
    <row r="107" spans="1:7" ht="14.95" thickBot="1" x14ac:dyDescent="0.35">
      <c r="A107" s="4">
        <v>45628</v>
      </c>
      <c r="B107" s="5" t="s">
        <v>8</v>
      </c>
      <c r="C107" s="6">
        <v>1902</v>
      </c>
      <c r="D107" s="6">
        <v>196</v>
      </c>
      <c r="E107" s="6">
        <v>470269</v>
      </c>
      <c r="F107" s="6">
        <v>4.79</v>
      </c>
      <c r="G107" s="6">
        <v>26103</v>
      </c>
    </row>
    <row r="108" spans="1:7" ht="14.95" thickBot="1" x14ac:dyDescent="0.35">
      <c r="A108" s="4">
        <v>45628</v>
      </c>
      <c r="B108" s="5" t="s">
        <v>9</v>
      </c>
      <c r="C108" s="6">
        <v>1441</v>
      </c>
      <c r="D108" s="6">
        <v>268</v>
      </c>
      <c r="E108" s="6">
        <v>309904</v>
      </c>
      <c r="F108" s="6">
        <v>6.37</v>
      </c>
      <c r="G108" s="6">
        <v>3455</v>
      </c>
    </row>
    <row r="109" spans="1:7" ht="14.95" thickBot="1" x14ac:dyDescent="0.35">
      <c r="A109" s="4">
        <v>45628</v>
      </c>
      <c r="B109" s="5" t="s">
        <v>10</v>
      </c>
      <c r="C109" s="6">
        <v>452</v>
      </c>
      <c r="D109" s="6">
        <v>161</v>
      </c>
      <c r="E109" s="6">
        <v>221274</v>
      </c>
      <c r="F109" s="6">
        <v>2.65</v>
      </c>
      <c r="G109" s="6">
        <v>40888</v>
      </c>
    </row>
    <row r="110" spans="1:7" ht="29.35" thickBot="1" x14ac:dyDescent="0.35">
      <c r="A110" s="4">
        <v>45635</v>
      </c>
      <c r="B110" s="5" t="s">
        <v>7</v>
      </c>
      <c r="C110" s="6">
        <v>1494</v>
      </c>
      <c r="D110" s="6">
        <v>375</v>
      </c>
      <c r="E110" s="6">
        <v>220616</v>
      </c>
      <c r="F110" s="6">
        <v>1.81</v>
      </c>
      <c r="G110" s="6">
        <v>22724</v>
      </c>
    </row>
    <row r="111" spans="1:7" ht="14.95" thickBot="1" x14ac:dyDescent="0.35">
      <c r="A111" s="4">
        <v>45635</v>
      </c>
      <c r="B111" s="5" t="s">
        <v>8</v>
      </c>
      <c r="C111" s="6">
        <v>1514</v>
      </c>
      <c r="D111" s="6">
        <v>141</v>
      </c>
      <c r="E111" s="6">
        <v>35842</v>
      </c>
      <c r="F111" s="6">
        <v>7.47</v>
      </c>
      <c r="G111" s="6">
        <v>18601</v>
      </c>
    </row>
    <row r="112" spans="1:7" ht="14.95" thickBot="1" x14ac:dyDescent="0.35">
      <c r="A112" s="4">
        <v>45635</v>
      </c>
      <c r="B112" s="5" t="s">
        <v>9</v>
      </c>
      <c r="C112" s="6">
        <v>1937</v>
      </c>
      <c r="D112" s="6">
        <v>210</v>
      </c>
      <c r="E112" s="6">
        <v>20607</v>
      </c>
      <c r="F112" s="6">
        <v>4.2</v>
      </c>
      <c r="G112" s="6">
        <v>20861</v>
      </c>
    </row>
    <row r="113" spans="1:7" ht="14.95" thickBot="1" x14ac:dyDescent="0.35">
      <c r="A113" s="4">
        <v>45635</v>
      </c>
      <c r="B113" s="5" t="s">
        <v>10</v>
      </c>
      <c r="C113" s="6">
        <v>736</v>
      </c>
      <c r="D113" s="6">
        <v>163</v>
      </c>
      <c r="E113" s="6">
        <v>451894</v>
      </c>
      <c r="F113" s="6">
        <v>5.43</v>
      </c>
      <c r="G113" s="6">
        <v>46625</v>
      </c>
    </row>
    <row r="114" spans="1:7" ht="29.35" thickBot="1" x14ac:dyDescent="0.35">
      <c r="A114" s="4">
        <v>45642</v>
      </c>
      <c r="B114" s="5" t="s">
        <v>7</v>
      </c>
      <c r="C114" s="6">
        <v>1502</v>
      </c>
      <c r="D114" s="6">
        <v>70</v>
      </c>
      <c r="E114" s="6">
        <v>465553</v>
      </c>
      <c r="F114" s="6">
        <v>3.32</v>
      </c>
      <c r="G114" s="6">
        <v>20692</v>
      </c>
    </row>
    <row r="115" spans="1:7" ht="14.95" thickBot="1" x14ac:dyDescent="0.35">
      <c r="A115" s="4">
        <v>45642</v>
      </c>
      <c r="B115" s="5" t="s">
        <v>8</v>
      </c>
      <c r="C115" s="6">
        <v>1623</v>
      </c>
      <c r="D115" s="6">
        <v>246</v>
      </c>
      <c r="E115" s="6">
        <v>415815</v>
      </c>
      <c r="F115" s="6">
        <v>8.11</v>
      </c>
      <c r="G115" s="6">
        <v>18656</v>
      </c>
    </row>
    <row r="116" spans="1:7" ht="14.95" thickBot="1" x14ac:dyDescent="0.35">
      <c r="A116" s="4">
        <v>45642</v>
      </c>
      <c r="B116" s="5" t="s">
        <v>9</v>
      </c>
      <c r="C116" s="6">
        <v>1592</v>
      </c>
      <c r="D116" s="6">
        <v>233</v>
      </c>
      <c r="E116" s="6">
        <v>327183</v>
      </c>
      <c r="F116" s="6">
        <v>6.66</v>
      </c>
      <c r="G116" s="6">
        <v>13316</v>
      </c>
    </row>
    <row r="117" spans="1:7" ht="14.95" thickBot="1" x14ac:dyDescent="0.35">
      <c r="A117" s="4">
        <v>45642</v>
      </c>
      <c r="B117" s="5" t="s">
        <v>10</v>
      </c>
      <c r="C117" s="6">
        <v>1004</v>
      </c>
      <c r="D117" s="6">
        <v>128</v>
      </c>
      <c r="E117" s="6">
        <v>488901</v>
      </c>
      <c r="F117" s="6">
        <v>8.09</v>
      </c>
      <c r="G117" s="6">
        <v>49558</v>
      </c>
    </row>
    <row r="118" spans="1:7" ht="29.35" thickBot="1" x14ac:dyDescent="0.35">
      <c r="A118" s="4">
        <v>45649</v>
      </c>
      <c r="B118" s="5" t="s">
        <v>7</v>
      </c>
      <c r="C118" s="6">
        <v>1092</v>
      </c>
      <c r="D118" s="6">
        <v>408</v>
      </c>
      <c r="E118" s="6">
        <v>280795</v>
      </c>
      <c r="F118" s="6">
        <v>8.44</v>
      </c>
      <c r="G118" s="6">
        <v>4683</v>
      </c>
    </row>
    <row r="119" spans="1:7" ht="14.95" thickBot="1" x14ac:dyDescent="0.35">
      <c r="A119" s="4">
        <v>45649</v>
      </c>
      <c r="B119" s="5" t="s">
        <v>8</v>
      </c>
      <c r="C119" s="6">
        <v>1155</v>
      </c>
      <c r="D119" s="6">
        <v>425</v>
      </c>
      <c r="E119" s="6">
        <v>93347</v>
      </c>
      <c r="F119" s="6">
        <v>2.02</v>
      </c>
      <c r="G119" s="6">
        <v>47502</v>
      </c>
    </row>
    <row r="120" spans="1:7" ht="14.95" thickBot="1" x14ac:dyDescent="0.35">
      <c r="A120" s="4">
        <v>45649</v>
      </c>
      <c r="B120" s="5" t="s">
        <v>9</v>
      </c>
      <c r="C120" s="6">
        <v>1137</v>
      </c>
      <c r="D120" s="6">
        <v>226</v>
      </c>
      <c r="E120" s="6">
        <v>81119</v>
      </c>
      <c r="F120" s="6">
        <v>7.74</v>
      </c>
      <c r="G120" s="6">
        <v>35359</v>
      </c>
    </row>
    <row r="121" spans="1:7" ht="14.95" thickBot="1" x14ac:dyDescent="0.35">
      <c r="A121" s="4">
        <v>45649</v>
      </c>
      <c r="B121" s="5" t="s">
        <v>10</v>
      </c>
      <c r="C121" s="6">
        <v>1900</v>
      </c>
      <c r="D121" s="6">
        <v>311</v>
      </c>
      <c r="E121" s="6">
        <v>25177</v>
      </c>
      <c r="F121" s="6">
        <v>2.89</v>
      </c>
      <c r="G121" s="6">
        <v>14154</v>
      </c>
    </row>
    <row r="122" spans="1:7" ht="29.35" thickBot="1" x14ac:dyDescent="0.35">
      <c r="A122" s="4">
        <v>45656</v>
      </c>
      <c r="B122" s="5" t="s">
        <v>7</v>
      </c>
      <c r="C122" s="6">
        <v>1814</v>
      </c>
      <c r="D122" s="6">
        <v>49</v>
      </c>
      <c r="E122" s="6">
        <v>140804</v>
      </c>
      <c r="F122" s="6">
        <v>1.76</v>
      </c>
      <c r="G122" s="6">
        <v>4313</v>
      </c>
    </row>
    <row r="123" spans="1:7" ht="14.95" thickBot="1" x14ac:dyDescent="0.35">
      <c r="A123" s="4">
        <v>45656</v>
      </c>
      <c r="B123" s="5" t="s">
        <v>8</v>
      </c>
      <c r="C123" s="6">
        <v>1980</v>
      </c>
      <c r="D123" s="6">
        <v>204</v>
      </c>
      <c r="E123" s="6">
        <v>379431</v>
      </c>
      <c r="F123" s="6">
        <v>3.09</v>
      </c>
      <c r="G123" s="6">
        <v>25140</v>
      </c>
    </row>
    <row r="124" spans="1:7" ht="14.95" thickBot="1" x14ac:dyDescent="0.35">
      <c r="A124" s="4">
        <v>45656</v>
      </c>
      <c r="B124" s="5" t="s">
        <v>9</v>
      </c>
      <c r="C124" s="6">
        <v>1786</v>
      </c>
      <c r="D124" s="6">
        <v>257</v>
      </c>
      <c r="E124" s="6">
        <v>274831</v>
      </c>
      <c r="F124" s="6">
        <v>4.68</v>
      </c>
      <c r="G124" s="6">
        <v>9118</v>
      </c>
    </row>
    <row r="125" spans="1:7" ht="14.95" thickBot="1" x14ac:dyDescent="0.35">
      <c r="A125" s="4">
        <v>45656</v>
      </c>
      <c r="B125" s="5" t="s">
        <v>10</v>
      </c>
      <c r="C125" s="6">
        <v>1495</v>
      </c>
      <c r="D125" s="6">
        <v>35</v>
      </c>
      <c r="E125" s="6">
        <v>136845</v>
      </c>
      <c r="F125" s="6">
        <v>4.4800000000000004</v>
      </c>
      <c r="G125" s="6">
        <v>39931</v>
      </c>
    </row>
    <row r="126" spans="1:7" ht="29.35" thickBot="1" x14ac:dyDescent="0.35">
      <c r="A126" s="4">
        <v>45663</v>
      </c>
      <c r="B126" s="5" t="s">
        <v>7</v>
      </c>
      <c r="C126" s="6">
        <v>1013</v>
      </c>
      <c r="D126" s="6">
        <v>110</v>
      </c>
      <c r="E126" s="6">
        <v>466382</v>
      </c>
      <c r="F126" s="6">
        <v>5.3</v>
      </c>
      <c r="G126" s="6">
        <v>37132</v>
      </c>
    </row>
    <row r="127" spans="1:7" ht="14.95" thickBot="1" x14ac:dyDescent="0.35">
      <c r="A127" s="4">
        <v>45663</v>
      </c>
      <c r="B127" s="5" t="s">
        <v>8</v>
      </c>
      <c r="C127" s="6">
        <v>816</v>
      </c>
      <c r="D127" s="6">
        <v>196</v>
      </c>
      <c r="E127" s="6">
        <v>95728</v>
      </c>
      <c r="F127" s="6">
        <v>8.1999999999999993</v>
      </c>
      <c r="G127" s="6">
        <v>17951</v>
      </c>
    </row>
    <row r="128" spans="1:7" ht="14.95" thickBot="1" x14ac:dyDescent="0.35">
      <c r="A128" s="4">
        <v>45663</v>
      </c>
      <c r="B128" s="5" t="s">
        <v>9</v>
      </c>
      <c r="C128" s="6">
        <v>1633</v>
      </c>
      <c r="D128" s="6">
        <v>445</v>
      </c>
      <c r="E128" s="6">
        <v>371156</v>
      </c>
      <c r="F128" s="6">
        <v>2.2200000000000002</v>
      </c>
      <c r="G128" s="6">
        <v>2798</v>
      </c>
    </row>
    <row r="129" spans="1:7" ht="14.95" thickBot="1" x14ac:dyDescent="0.35">
      <c r="A129" s="4">
        <v>45663</v>
      </c>
      <c r="B129" s="5" t="s">
        <v>10</v>
      </c>
      <c r="C129" s="6">
        <v>891</v>
      </c>
      <c r="D129" s="6">
        <v>45</v>
      </c>
      <c r="E129" s="6">
        <v>95410</v>
      </c>
      <c r="F129" s="6">
        <v>8.33</v>
      </c>
      <c r="G129" s="6">
        <v>15045</v>
      </c>
    </row>
    <row r="130" spans="1:7" ht="29.35" thickBot="1" x14ac:dyDescent="0.35">
      <c r="A130" s="4">
        <v>45670</v>
      </c>
      <c r="B130" s="5" t="s">
        <v>7</v>
      </c>
      <c r="C130" s="6">
        <v>1855</v>
      </c>
      <c r="D130" s="6">
        <v>133</v>
      </c>
      <c r="E130" s="6">
        <v>349413</v>
      </c>
      <c r="F130" s="6">
        <v>3.3</v>
      </c>
      <c r="G130" s="6">
        <v>14548</v>
      </c>
    </row>
    <row r="131" spans="1:7" ht="14.95" thickBot="1" x14ac:dyDescent="0.35">
      <c r="A131" s="4">
        <v>45670</v>
      </c>
      <c r="B131" s="5" t="s">
        <v>8</v>
      </c>
      <c r="C131" s="6">
        <v>651</v>
      </c>
      <c r="D131" s="6">
        <v>353</v>
      </c>
      <c r="E131" s="6">
        <v>224699</v>
      </c>
      <c r="F131" s="6">
        <v>5.61</v>
      </c>
      <c r="G131" s="6">
        <v>45708</v>
      </c>
    </row>
    <row r="132" spans="1:7" ht="14.95" thickBot="1" x14ac:dyDescent="0.35">
      <c r="A132" s="4">
        <v>45670</v>
      </c>
      <c r="B132" s="5" t="s">
        <v>9</v>
      </c>
      <c r="C132" s="6">
        <v>118</v>
      </c>
      <c r="D132" s="6">
        <v>262</v>
      </c>
      <c r="E132" s="6">
        <v>487896</v>
      </c>
      <c r="F132" s="6">
        <v>2.56</v>
      </c>
      <c r="G132" s="6">
        <v>12350</v>
      </c>
    </row>
    <row r="133" spans="1:7" ht="14.95" thickBot="1" x14ac:dyDescent="0.35">
      <c r="A133" s="4">
        <v>45670</v>
      </c>
      <c r="B133" s="5" t="s">
        <v>10</v>
      </c>
      <c r="C133" s="6">
        <v>1331</v>
      </c>
      <c r="D133" s="6">
        <v>430</v>
      </c>
      <c r="E133" s="6">
        <v>14437</v>
      </c>
      <c r="F133" s="6">
        <v>3.29</v>
      </c>
      <c r="G133" s="6">
        <v>40868</v>
      </c>
    </row>
    <row r="134" spans="1:7" ht="29.35" thickBot="1" x14ac:dyDescent="0.35">
      <c r="A134" s="4">
        <v>45677</v>
      </c>
      <c r="B134" s="5" t="s">
        <v>7</v>
      </c>
      <c r="C134" s="6">
        <v>1748</v>
      </c>
      <c r="D134" s="6">
        <v>176</v>
      </c>
      <c r="E134" s="6">
        <v>383681</v>
      </c>
      <c r="F134" s="6">
        <v>9.24</v>
      </c>
      <c r="G134" s="6">
        <v>43122</v>
      </c>
    </row>
    <row r="135" spans="1:7" ht="14.95" thickBot="1" x14ac:dyDescent="0.35">
      <c r="A135" s="4">
        <v>45677</v>
      </c>
      <c r="B135" s="5" t="s">
        <v>8</v>
      </c>
      <c r="C135" s="6">
        <v>663</v>
      </c>
      <c r="D135" s="6">
        <v>236</v>
      </c>
      <c r="E135" s="6">
        <v>479490</v>
      </c>
      <c r="F135" s="6">
        <v>4.51</v>
      </c>
      <c r="G135" s="6">
        <v>23853</v>
      </c>
    </row>
    <row r="136" spans="1:7" ht="14.95" thickBot="1" x14ac:dyDescent="0.35">
      <c r="A136" s="4">
        <v>45677</v>
      </c>
      <c r="B136" s="5" t="s">
        <v>9</v>
      </c>
      <c r="C136" s="6">
        <v>1040</v>
      </c>
      <c r="D136" s="6">
        <v>149</v>
      </c>
      <c r="E136" s="6">
        <v>124404</v>
      </c>
      <c r="F136" s="6">
        <v>5.23</v>
      </c>
      <c r="G136" s="6">
        <v>45380</v>
      </c>
    </row>
    <row r="137" spans="1:7" ht="14.95" thickBot="1" x14ac:dyDescent="0.35">
      <c r="A137" s="4">
        <v>45677</v>
      </c>
      <c r="B137" s="5" t="s">
        <v>10</v>
      </c>
      <c r="C137" s="6">
        <v>1166</v>
      </c>
      <c r="D137" s="6">
        <v>442</v>
      </c>
      <c r="E137" s="6">
        <v>336949</v>
      </c>
      <c r="F137" s="6">
        <v>4.68</v>
      </c>
      <c r="G137" s="6">
        <v>7705</v>
      </c>
    </row>
    <row r="138" spans="1:7" ht="29.35" thickBot="1" x14ac:dyDescent="0.35">
      <c r="A138" s="4">
        <v>45684</v>
      </c>
      <c r="B138" s="5" t="s">
        <v>7</v>
      </c>
      <c r="C138" s="6">
        <v>115</v>
      </c>
      <c r="D138" s="6">
        <v>281</v>
      </c>
      <c r="E138" s="6">
        <v>357265</v>
      </c>
      <c r="F138" s="6">
        <v>9.23</v>
      </c>
      <c r="G138" s="6">
        <v>25525</v>
      </c>
    </row>
    <row r="139" spans="1:7" ht="14.95" thickBot="1" x14ac:dyDescent="0.35">
      <c r="A139" s="4">
        <v>45684</v>
      </c>
      <c r="B139" s="5" t="s">
        <v>8</v>
      </c>
      <c r="C139" s="6">
        <v>1249</v>
      </c>
      <c r="D139" s="6">
        <v>351</v>
      </c>
      <c r="E139" s="6">
        <v>321307</v>
      </c>
      <c r="F139" s="6">
        <v>6.37</v>
      </c>
      <c r="G139" s="6">
        <v>20560</v>
      </c>
    </row>
    <row r="140" spans="1:7" ht="14.95" thickBot="1" x14ac:dyDescent="0.35">
      <c r="A140" s="4">
        <v>45684</v>
      </c>
      <c r="B140" s="5" t="s">
        <v>9</v>
      </c>
      <c r="C140" s="6">
        <v>1501</v>
      </c>
      <c r="D140" s="6">
        <v>75</v>
      </c>
      <c r="E140" s="6">
        <v>262569</v>
      </c>
      <c r="F140" s="6">
        <v>2.0099999999999998</v>
      </c>
      <c r="G140" s="6">
        <v>19119</v>
      </c>
    </row>
    <row r="141" spans="1:7" ht="14.95" thickBot="1" x14ac:dyDescent="0.35">
      <c r="A141" s="4">
        <v>45684</v>
      </c>
      <c r="B141" s="5" t="s">
        <v>10</v>
      </c>
      <c r="C141" s="6">
        <v>1411</v>
      </c>
      <c r="D141" s="6">
        <v>186</v>
      </c>
      <c r="E141" s="6">
        <v>461669</v>
      </c>
      <c r="F141" s="6">
        <v>3.72</v>
      </c>
      <c r="G141" s="6">
        <v>43999</v>
      </c>
    </row>
    <row r="142" spans="1:7" ht="29.35" thickBot="1" x14ac:dyDescent="0.35">
      <c r="A142" s="4">
        <v>45691</v>
      </c>
      <c r="B142" s="5" t="s">
        <v>7</v>
      </c>
      <c r="C142" s="6">
        <v>1556</v>
      </c>
      <c r="D142" s="6">
        <v>476</v>
      </c>
      <c r="E142" s="6">
        <v>351556</v>
      </c>
      <c r="F142" s="6">
        <v>3.89</v>
      </c>
      <c r="G142" s="6">
        <v>10825</v>
      </c>
    </row>
    <row r="143" spans="1:7" ht="14.95" thickBot="1" x14ac:dyDescent="0.35">
      <c r="A143" s="4">
        <v>45691</v>
      </c>
      <c r="B143" s="5" t="s">
        <v>8</v>
      </c>
      <c r="C143" s="6">
        <v>1159</v>
      </c>
      <c r="D143" s="6">
        <v>411</v>
      </c>
      <c r="E143" s="6">
        <v>135987</v>
      </c>
      <c r="F143" s="6">
        <v>8.6999999999999993</v>
      </c>
      <c r="G143" s="6">
        <v>40323</v>
      </c>
    </row>
    <row r="144" spans="1:7" ht="14.95" thickBot="1" x14ac:dyDescent="0.35">
      <c r="A144" s="4">
        <v>45691</v>
      </c>
      <c r="B144" s="5" t="s">
        <v>9</v>
      </c>
      <c r="C144" s="6">
        <v>927</v>
      </c>
      <c r="D144" s="6">
        <v>358</v>
      </c>
      <c r="E144" s="6">
        <v>177554</v>
      </c>
      <c r="F144" s="6">
        <v>6.95</v>
      </c>
      <c r="G144" s="6">
        <v>48270</v>
      </c>
    </row>
    <row r="145" spans="1:7" ht="14.95" thickBot="1" x14ac:dyDescent="0.35">
      <c r="A145" s="4">
        <v>45691</v>
      </c>
      <c r="B145" s="5" t="s">
        <v>10</v>
      </c>
      <c r="C145" s="6">
        <v>152</v>
      </c>
      <c r="D145" s="6">
        <v>355</v>
      </c>
      <c r="E145" s="6">
        <v>270766</v>
      </c>
      <c r="F145" s="6">
        <v>9.48</v>
      </c>
      <c r="G145" s="6">
        <v>18001</v>
      </c>
    </row>
    <row r="146" spans="1:7" ht="29.35" thickBot="1" x14ac:dyDescent="0.35">
      <c r="A146" s="4">
        <v>45698</v>
      </c>
      <c r="B146" s="5" t="s">
        <v>7</v>
      </c>
      <c r="C146" s="6">
        <v>1957</v>
      </c>
      <c r="D146" s="6">
        <v>234</v>
      </c>
      <c r="E146" s="6">
        <v>222126</v>
      </c>
      <c r="F146" s="6">
        <v>4.6100000000000003</v>
      </c>
      <c r="G146" s="6">
        <v>3314</v>
      </c>
    </row>
    <row r="147" spans="1:7" ht="14.95" thickBot="1" x14ac:dyDescent="0.35">
      <c r="A147" s="4">
        <v>45698</v>
      </c>
      <c r="B147" s="5" t="s">
        <v>8</v>
      </c>
      <c r="C147" s="6">
        <v>1294</v>
      </c>
      <c r="D147" s="6">
        <v>382</v>
      </c>
      <c r="E147" s="6">
        <v>309914</v>
      </c>
      <c r="F147" s="6">
        <v>8.0299999999999994</v>
      </c>
      <c r="G147" s="6">
        <v>23489</v>
      </c>
    </row>
    <row r="148" spans="1:7" ht="14.95" thickBot="1" x14ac:dyDescent="0.35">
      <c r="A148" s="4">
        <v>45698</v>
      </c>
      <c r="B148" s="5" t="s">
        <v>9</v>
      </c>
      <c r="C148" s="6">
        <v>1587</v>
      </c>
      <c r="D148" s="6">
        <v>385</v>
      </c>
      <c r="E148" s="6">
        <v>126582</v>
      </c>
      <c r="F148" s="6">
        <v>6.99</v>
      </c>
      <c r="G148" s="6">
        <v>42832</v>
      </c>
    </row>
    <row r="149" spans="1:7" ht="14.95" thickBot="1" x14ac:dyDescent="0.35">
      <c r="A149" s="4">
        <v>45698</v>
      </c>
      <c r="B149" s="5" t="s">
        <v>10</v>
      </c>
      <c r="C149" s="6">
        <v>1707</v>
      </c>
      <c r="D149" s="6">
        <v>263</v>
      </c>
      <c r="E149" s="6">
        <v>485280</v>
      </c>
      <c r="F149" s="6">
        <v>9.0299999999999994</v>
      </c>
      <c r="G149" s="6">
        <v>24494</v>
      </c>
    </row>
    <row r="150" spans="1:7" ht="29.35" thickBot="1" x14ac:dyDescent="0.35">
      <c r="A150" s="4">
        <v>45705</v>
      </c>
      <c r="B150" s="5" t="s">
        <v>7</v>
      </c>
      <c r="C150" s="6">
        <v>1138</v>
      </c>
      <c r="D150" s="6">
        <v>173</v>
      </c>
      <c r="E150" s="6">
        <v>453243</v>
      </c>
      <c r="F150" s="6">
        <v>2.86</v>
      </c>
      <c r="G150" s="6">
        <v>44097</v>
      </c>
    </row>
    <row r="151" spans="1:7" ht="14.95" thickBot="1" x14ac:dyDescent="0.35">
      <c r="A151" s="4">
        <v>45705</v>
      </c>
      <c r="B151" s="5" t="s">
        <v>8</v>
      </c>
      <c r="C151" s="6">
        <v>1895</v>
      </c>
      <c r="D151" s="6">
        <v>305</v>
      </c>
      <c r="E151" s="6">
        <v>104967</v>
      </c>
      <c r="F151" s="6">
        <v>3.85</v>
      </c>
      <c r="G151" s="6">
        <v>31853</v>
      </c>
    </row>
    <row r="152" spans="1:7" ht="14.95" thickBot="1" x14ac:dyDescent="0.35">
      <c r="A152" s="4">
        <v>45705</v>
      </c>
      <c r="B152" s="5" t="s">
        <v>9</v>
      </c>
      <c r="C152" s="6">
        <v>362</v>
      </c>
      <c r="D152" s="6">
        <v>399</v>
      </c>
      <c r="E152" s="6">
        <v>145608</v>
      </c>
      <c r="F152" s="6">
        <v>7.3</v>
      </c>
      <c r="G152" s="6">
        <v>37636</v>
      </c>
    </row>
    <row r="153" spans="1:7" ht="14.95" thickBot="1" x14ac:dyDescent="0.35">
      <c r="A153" s="4">
        <v>45705</v>
      </c>
      <c r="B153" s="5" t="s">
        <v>10</v>
      </c>
      <c r="C153" s="6">
        <v>1662</v>
      </c>
      <c r="D153" s="6">
        <v>487</v>
      </c>
      <c r="E153" s="6">
        <v>105980</v>
      </c>
      <c r="F153" s="6">
        <v>9.08</v>
      </c>
      <c r="G153" s="6">
        <v>22996</v>
      </c>
    </row>
    <row r="154" spans="1:7" ht="29.35" thickBot="1" x14ac:dyDescent="0.35">
      <c r="A154" s="4">
        <v>45712</v>
      </c>
      <c r="B154" s="5" t="s">
        <v>7</v>
      </c>
      <c r="C154" s="6">
        <v>1440</v>
      </c>
      <c r="D154" s="6">
        <v>65</v>
      </c>
      <c r="E154" s="6">
        <v>126524</v>
      </c>
      <c r="F154" s="6">
        <v>4.34</v>
      </c>
      <c r="G154" s="6">
        <v>49772</v>
      </c>
    </row>
    <row r="155" spans="1:7" ht="14.95" thickBot="1" x14ac:dyDescent="0.35">
      <c r="A155" s="4">
        <v>45712</v>
      </c>
      <c r="B155" s="5" t="s">
        <v>8</v>
      </c>
      <c r="C155" s="6">
        <v>1884</v>
      </c>
      <c r="D155" s="6">
        <v>177</v>
      </c>
      <c r="E155" s="6">
        <v>230448</v>
      </c>
      <c r="F155" s="6">
        <v>7.8</v>
      </c>
      <c r="G155" s="6">
        <v>22713</v>
      </c>
    </row>
    <row r="156" spans="1:7" ht="14.95" thickBot="1" x14ac:dyDescent="0.35">
      <c r="A156" s="4">
        <v>45712</v>
      </c>
      <c r="B156" s="5" t="s">
        <v>9</v>
      </c>
      <c r="C156" s="6">
        <v>861</v>
      </c>
      <c r="D156" s="6">
        <v>153</v>
      </c>
      <c r="E156" s="6">
        <v>317007</v>
      </c>
      <c r="F156" s="6">
        <v>3.85</v>
      </c>
      <c r="G156" s="6">
        <v>8718</v>
      </c>
    </row>
    <row r="157" spans="1:7" ht="14.95" thickBot="1" x14ac:dyDescent="0.35">
      <c r="A157" s="4">
        <v>45712</v>
      </c>
      <c r="B157" s="5" t="s">
        <v>10</v>
      </c>
      <c r="C157" s="6">
        <v>1063</v>
      </c>
      <c r="D157" s="6">
        <v>47</v>
      </c>
      <c r="E157" s="6">
        <v>464239</v>
      </c>
      <c r="F157" s="6">
        <v>6.58</v>
      </c>
      <c r="G157" s="6">
        <v>39031</v>
      </c>
    </row>
    <row r="158" spans="1:7" ht="29.35" thickBot="1" x14ac:dyDescent="0.35">
      <c r="A158" s="4">
        <v>45719</v>
      </c>
      <c r="B158" s="5" t="s">
        <v>7</v>
      </c>
      <c r="C158" s="6">
        <v>1371</v>
      </c>
      <c r="D158" s="6">
        <v>56</v>
      </c>
      <c r="E158" s="6">
        <v>257579</v>
      </c>
      <c r="F158" s="6">
        <v>8.6199999999999992</v>
      </c>
      <c r="G158" s="6">
        <v>33799</v>
      </c>
    </row>
    <row r="159" spans="1:7" ht="14.95" thickBot="1" x14ac:dyDescent="0.35">
      <c r="A159" s="4">
        <v>45719</v>
      </c>
      <c r="B159" s="5" t="s">
        <v>8</v>
      </c>
      <c r="C159" s="6">
        <v>345</v>
      </c>
      <c r="D159" s="6">
        <v>464</v>
      </c>
      <c r="E159" s="6">
        <v>366881</v>
      </c>
      <c r="F159" s="6">
        <v>4.55</v>
      </c>
      <c r="G159" s="6">
        <v>20553</v>
      </c>
    </row>
    <row r="160" spans="1:7" ht="14.95" thickBot="1" x14ac:dyDescent="0.35">
      <c r="A160" s="4">
        <v>45719</v>
      </c>
      <c r="B160" s="5" t="s">
        <v>9</v>
      </c>
      <c r="C160" s="6">
        <v>946</v>
      </c>
      <c r="D160" s="6">
        <v>47</v>
      </c>
      <c r="E160" s="6">
        <v>466575</v>
      </c>
      <c r="F160" s="6">
        <v>8.33</v>
      </c>
      <c r="G160" s="6">
        <v>10002</v>
      </c>
    </row>
    <row r="161" spans="1:7" ht="14.95" thickBot="1" x14ac:dyDescent="0.35">
      <c r="A161" s="4">
        <v>45719</v>
      </c>
      <c r="B161" s="5" t="s">
        <v>10</v>
      </c>
      <c r="C161" s="6">
        <v>510</v>
      </c>
      <c r="D161" s="6">
        <v>195</v>
      </c>
      <c r="E161" s="6">
        <v>224534</v>
      </c>
      <c r="F161" s="6">
        <v>9.4</v>
      </c>
      <c r="G161" s="6">
        <v>30987</v>
      </c>
    </row>
    <row r="162" spans="1:7" ht="29.35" thickBot="1" x14ac:dyDescent="0.35">
      <c r="A162" s="4">
        <v>45726</v>
      </c>
      <c r="B162" s="5" t="s">
        <v>7</v>
      </c>
      <c r="C162" s="6">
        <v>393</v>
      </c>
      <c r="D162" s="6">
        <v>181</v>
      </c>
      <c r="E162" s="6">
        <v>462142</v>
      </c>
      <c r="F162" s="6">
        <v>7.23</v>
      </c>
      <c r="G162" s="6">
        <v>6296</v>
      </c>
    </row>
    <row r="163" spans="1:7" ht="14.95" thickBot="1" x14ac:dyDescent="0.35">
      <c r="A163" s="4">
        <v>45726</v>
      </c>
      <c r="B163" s="5" t="s">
        <v>8</v>
      </c>
      <c r="C163" s="6">
        <v>1098</v>
      </c>
      <c r="D163" s="6">
        <v>190</v>
      </c>
      <c r="E163" s="6">
        <v>340842</v>
      </c>
      <c r="F163" s="6">
        <v>9.39</v>
      </c>
      <c r="G163" s="6">
        <v>21539</v>
      </c>
    </row>
    <row r="164" spans="1:7" ht="14.95" thickBot="1" x14ac:dyDescent="0.35">
      <c r="A164" s="4">
        <v>45726</v>
      </c>
      <c r="B164" s="5" t="s">
        <v>9</v>
      </c>
      <c r="C164" s="6">
        <v>1399</v>
      </c>
      <c r="D164" s="6">
        <v>49</v>
      </c>
      <c r="E164" s="6">
        <v>12471</v>
      </c>
      <c r="F164" s="6">
        <v>5.12</v>
      </c>
      <c r="G164" s="6">
        <v>14722</v>
      </c>
    </row>
    <row r="165" spans="1:7" ht="14.95" thickBot="1" x14ac:dyDescent="0.35">
      <c r="A165" s="4">
        <v>45726</v>
      </c>
      <c r="B165" s="5" t="s">
        <v>10</v>
      </c>
      <c r="C165" s="6">
        <v>1658</v>
      </c>
      <c r="D165" s="6">
        <v>416</v>
      </c>
      <c r="E165" s="6">
        <v>98397</v>
      </c>
      <c r="F165" s="6">
        <v>6.11</v>
      </c>
      <c r="G165" s="6">
        <v>11383</v>
      </c>
    </row>
    <row r="166" spans="1:7" ht="29.35" thickBot="1" x14ac:dyDescent="0.35">
      <c r="A166" s="4">
        <v>45733</v>
      </c>
      <c r="B166" s="5" t="s">
        <v>7</v>
      </c>
      <c r="C166" s="6">
        <v>1102</v>
      </c>
      <c r="D166" s="6">
        <v>422</v>
      </c>
      <c r="E166" s="6">
        <v>410330</v>
      </c>
      <c r="F166" s="6">
        <v>7.74</v>
      </c>
      <c r="G166" s="6">
        <v>9480</v>
      </c>
    </row>
    <row r="167" spans="1:7" ht="14.95" thickBot="1" x14ac:dyDescent="0.35">
      <c r="A167" s="4">
        <v>45733</v>
      </c>
      <c r="B167" s="5" t="s">
        <v>8</v>
      </c>
      <c r="C167" s="6">
        <v>1358</v>
      </c>
      <c r="D167" s="6">
        <v>242</v>
      </c>
      <c r="E167" s="6">
        <v>342129</v>
      </c>
      <c r="F167" s="6">
        <v>4.9400000000000004</v>
      </c>
      <c r="G167" s="6">
        <v>29116</v>
      </c>
    </row>
    <row r="168" spans="1:7" ht="14.95" thickBot="1" x14ac:dyDescent="0.35">
      <c r="A168" s="4">
        <v>45733</v>
      </c>
      <c r="B168" s="5" t="s">
        <v>9</v>
      </c>
      <c r="C168" s="6">
        <v>1077</v>
      </c>
      <c r="D168" s="6">
        <v>216</v>
      </c>
      <c r="E168" s="6">
        <v>12447</v>
      </c>
      <c r="F168" s="6">
        <v>1.8</v>
      </c>
      <c r="G168" s="6">
        <v>14068</v>
      </c>
    </row>
    <row r="169" spans="1:7" ht="14.95" thickBot="1" x14ac:dyDescent="0.35">
      <c r="A169" s="4">
        <v>45733</v>
      </c>
      <c r="B169" s="5" t="s">
        <v>10</v>
      </c>
      <c r="C169" s="6">
        <v>1596</v>
      </c>
      <c r="D169" s="6">
        <v>211</v>
      </c>
      <c r="E169" s="6">
        <v>17380</v>
      </c>
      <c r="F169" s="6">
        <v>8.64</v>
      </c>
      <c r="G169" s="6">
        <v>35801</v>
      </c>
    </row>
    <row r="170" spans="1:7" ht="29.35" thickBot="1" x14ac:dyDescent="0.35">
      <c r="A170" s="4">
        <v>45740</v>
      </c>
      <c r="B170" s="5" t="s">
        <v>7</v>
      </c>
      <c r="C170" s="6">
        <v>490</v>
      </c>
      <c r="D170" s="6">
        <v>29</v>
      </c>
      <c r="E170" s="6">
        <v>364810</v>
      </c>
      <c r="F170" s="6">
        <v>1.53</v>
      </c>
      <c r="G170" s="6">
        <v>49077</v>
      </c>
    </row>
    <row r="171" spans="1:7" ht="14.95" thickBot="1" x14ac:dyDescent="0.35">
      <c r="A171" s="4">
        <v>45740</v>
      </c>
      <c r="B171" s="5" t="s">
        <v>8</v>
      </c>
      <c r="C171" s="6">
        <v>609</v>
      </c>
      <c r="D171" s="6">
        <v>135</v>
      </c>
      <c r="E171" s="6">
        <v>373606</v>
      </c>
      <c r="F171" s="6">
        <v>8.52</v>
      </c>
      <c r="G171" s="6">
        <v>21453</v>
      </c>
    </row>
    <row r="172" spans="1:7" ht="14.95" thickBot="1" x14ac:dyDescent="0.35">
      <c r="A172" s="4">
        <v>45740</v>
      </c>
      <c r="B172" s="5" t="s">
        <v>9</v>
      </c>
      <c r="C172" s="6">
        <v>364</v>
      </c>
      <c r="D172" s="6">
        <v>72</v>
      </c>
      <c r="E172" s="6">
        <v>211090</v>
      </c>
      <c r="F172" s="6">
        <v>5.53</v>
      </c>
      <c r="G172" s="6">
        <v>21061</v>
      </c>
    </row>
    <row r="173" spans="1:7" ht="14.95" thickBot="1" x14ac:dyDescent="0.35">
      <c r="A173" s="4">
        <v>45740</v>
      </c>
      <c r="B173" s="5" t="s">
        <v>10</v>
      </c>
      <c r="C173" s="6">
        <v>442</v>
      </c>
      <c r="D173" s="6">
        <v>53</v>
      </c>
      <c r="E173" s="6">
        <v>441931</v>
      </c>
      <c r="F173" s="6">
        <v>1.87</v>
      </c>
      <c r="G173" s="6">
        <v>20059</v>
      </c>
    </row>
    <row r="174" spans="1:7" ht="29.35" thickBot="1" x14ac:dyDescent="0.35">
      <c r="A174" s="4">
        <v>45747</v>
      </c>
      <c r="B174" s="5" t="s">
        <v>7</v>
      </c>
      <c r="C174" s="6">
        <v>1033</v>
      </c>
      <c r="D174" s="6">
        <v>392</v>
      </c>
      <c r="E174" s="6">
        <v>282780</v>
      </c>
      <c r="F174" s="6">
        <v>6.27</v>
      </c>
      <c r="G174" s="6">
        <v>23140</v>
      </c>
    </row>
    <row r="175" spans="1:7" ht="14.95" thickBot="1" x14ac:dyDescent="0.35">
      <c r="A175" s="4">
        <v>45747</v>
      </c>
      <c r="B175" s="5" t="s">
        <v>8</v>
      </c>
      <c r="C175" s="6">
        <v>988</v>
      </c>
      <c r="D175" s="6">
        <v>474</v>
      </c>
      <c r="E175" s="6">
        <v>370070</v>
      </c>
      <c r="F175" s="6">
        <v>9.4600000000000009</v>
      </c>
      <c r="G175" s="6">
        <v>23461</v>
      </c>
    </row>
    <row r="176" spans="1:7" ht="14.95" thickBot="1" x14ac:dyDescent="0.35">
      <c r="A176" s="4">
        <v>45747</v>
      </c>
      <c r="B176" s="5" t="s">
        <v>9</v>
      </c>
      <c r="C176" s="6">
        <v>1946</v>
      </c>
      <c r="D176" s="6">
        <v>270</v>
      </c>
      <c r="E176" s="6">
        <v>198350</v>
      </c>
      <c r="F176" s="6">
        <v>7.5</v>
      </c>
      <c r="G176" s="6">
        <v>11805</v>
      </c>
    </row>
    <row r="177" spans="1:7" ht="14.95" thickBot="1" x14ac:dyDescent="0.35">
      <c r="A177" s="4">
        <v>45747</v>
      </c>
      <c r="B177" s="5" t="s">
        <v>10</v>
      </c>
      <c r="C177" s="6">
        <v>1957</v>
      </c>
      <c r="D177" s="6">
        <v>490</v>
      </c>
      <c r="E177" s="6">
        <v>435726</v>
      </c>
      <c r="F177" s="6">
        <v>4.7300000000000004</v>
      </c>
      <c r="G177" s="6">
        <v>15969</v>
      </c>
    </row>
    <row r="178" spans="1:7" ht="29.35" thickBot="1" x14ac:dyDescent="0.35">
      <c r="A178" s="4">
        <v>45754</v>
      </c>
      <c r="B178" s="5" t="s">
        <v>7</v>
      </c>
      <c r="C178" s="6">
        <v>559</v>
      </c>
      <c r="D178" s="6">
        <v>392</v>
      </c>
      <c r="E178" s="6">
        <v>78789</v>
      </c>
      <c r="F178" s="6">
        <v>3.19</v>
      </c>
      <c r="G178" s="6">
        <v>2436</v>
      </c>
    </row>
    <row r="179" spans="1:7" ht="14.95" thickBot="1" x14ac:dyDescent="0.35">
      <c r="A179" s="4">
        <v>45754</v>
      </c>
      <c r="B179" s="5" t="s">
        <v>8</v>
      </c>
      <c r="C179" s="6">
        <v>1307</v>
      </c>
      <c r="D179" s="6">
        <v>278</v>
      </c>
      <c r="E179" s="6">
        <v>98596</v>
      </c>
      <c r="F179" s="6">
        <v>2.4900000000000002</v>
      </c>
      <c r="G179" s="6">
        <v>47603</v>
      </c>
    </row>
    <row r="180" spans="1:7" ht="14.95" thickBot="1" x14ac:dyDescent="0.35">
      <c r="A180" s="4">
        <v>45754</v>
      </c>
      <c r="B180" s="5" t="s">
        <v>9</v>
      </c>
      <c r="C180" s="6">
        <v>1432</v>
      </c>
      <c r="D180" s="6">
        <v>425</v>
      </c>
      <c r="E180" s="6">
        <v>29589</v>
      </c>
      <c r="F180" s="6">
        <v>4.5</v>
      </c>
      <c r="G180" s="6">
        <v>42964</v>
      </c>
    </row>
    <row r="181" spans="1:7" ht="14.95" thickBot="1" x14ac:dyDescent="0.35">
      <c r="A181" s="4">
        <v>45754</v>
      </c>
      <c r="B181" s="5" t="s">
        <v>10</v>
      </c>
      <c r="C181" s="6">
        <v>623</v>
      </c>
      <c r="D181" s="6">
        <v>414</v>
      </c>
      <c r="E181" s="6">
        <v>290354</v>
      </c>
      <c r="F181" s="6">
        <v>6.49</v>
      </c>
      <c r="G181" s="6">
        <v>39923</v>
      </c>
    </row>
    <row r="182" spans="1:7" ht="29.35" thickBot="1" x14ac:dyDescent="0.35">
      <c r="A182" s="4">
        <v>45761</v>
      </c>
      <c r="B182" s="5" t="s">
        <v>7</v>
      </c>
      <c r="C182" s="6">
        <v>198</v>
      </c>
      <c r="D182" s="6">
        <v>358</v>
      </c>
      <c r="E182" s="6">
        <v>66682</v>
      </c>
      <c r="F182" s="6">
        <v>6.73</v>
      </c>
      <c r="G182" s="6">
        <v>2293</v>
      </c>
    </row>
    <row r="183" spans="1:7" ht="14.95" thickBot="1" x14ac:dyDescent="0.35">
      <c r="A183" s="4">
        <v>45761</v>
      </c>
      <c r="B183" s="5" t="s">
        <v>8</v>
      </c>
      <c r="C183" s="6">
        <v>198</v>
      </c>
      <c r="D183" s="6">
        <v>373</v>
      </c>
      <c r="E183" s="6">
        <v>70707</v>
      </c>
      <c r="F183" s="6">
        <v>4.83</v>
      </c>
      <c r="G183" s="6">
        <v>25920</v>
      </c>
    </row>
    <row r="184" spans="1:7" ht="14.95" thickBot="1" x14ac:dyDescent="0.35">
      <c r="A184" s="4">
        <v>45761</v>
      </c>
      <c r="B184" s="5" t="s">
        <v>9</v>
      </c>
      <c r="C184" s="6">
        <v>353</v>
      </c>
      <c r="D184" s="6">
        <v>300</v>
      </c>
      <c r="E184" s="6">
        <v>142507</v>
      </c>
      <c r="F184" s="6">
        <v>5.3</v>
      </c>
      <c r="G184" s="6">
        <v>11035</v>
      </c>
    </row>
    <row r="185" spans="1:7" ht="14.95" thickBot="1" x14ac:dyDescent="0.35">
      <c r="A185" s="4">
        <v>45761</v>
      </c>
      <c r="B185" s="5" t="s">
        <v>10</v>
      </c>
      <c r="C185" s="6">
        <v>520</v>
      </c>
      <c r="D185" s="6">
        <v>375</v>
      </c>
      <c r="E185" s="6">
        <v>369525</v>
      </c>
      <c r="F185" s="6">
        <v>6.54</v>
      </c>
      <c r="G185" s="6">
        <v>20733</v>
      </c>
    </row>
    <row r="186" spans="1:7" ht="29.35" thickBot="1" x14ac:dyDescent="0.35">
      <c r="A186" s="4">
        <v>45768</v>
      </c>
      <c r="B186" s="5" t="s">
        <v>7</v>
      </c>
      <c r="C186" s="6">
        <v>961</v>
      </c>
      <c r="D186" s="6">
        <v>358</v>
      </c>
      <c r="E186" s="6">
        <v>62942</v>
      </c>
      <c r="F186" s="6">
        <v>6.8</v>
      </c>
      <c r="G186" s="6">
        <v>18693</v>
      </c>
    </row>
    <row r="187" spans="1:7" ht="14.95" thickBot="1" x14ac:dyDescent="0.35">
      <c r="A187" s="4">
        <v>45768</v>
      </c>
      <c r="B187" s="5" t="s">
        <v>8</v>
      </c>
      <c r="C187" s="6">
        <v>1375</v>
      </c>
      <c r="D187" s="6">
        <v>330</v>
      </c>
      <c r="E187" s="6">
        <v>377382</v>
      </c>
      <c r="F187" s="6">
        <v>2.6</v>
      </c>
      <c r="G187" s="6">
        <v>7875</v>
      </c>
    </row>
    <row r="188" spans="1:7" ht="14.95" thickBot="1" x14ac:dyDescent="0.35">
      <c r="A188" s="4">
        <v>45768</v>
      </c>
      <c r="B188" s="5" t="s">
        <v>9</v>
      </c>
      <c r="C188" s="6">
        <v>1147</v>
      </c>
      <c r="D188" s="6">
        <v>388</v>
      </c>
      <c r="E188" s="6">
        <v>333851</v>
      </c>
      <c r="F188" s="6">
        <v>2.44</v>
      </c>
      <c r="G188" s="6">
        <v>8471</v>
      </c>
    </row>
    <row r="189" spans="1:7" ht="14.95" thickBot="1" x14ac:dyDescent="0.35">
      <c r="A189" s="4">
        <v>45768</v>
      </c>
      <c r="B189" s="5" t="s">
        <v>10</v>
      </c>
      <c r="C189" s="6">
        <v>1707</v>
      </c>
      <c r="D189" s="6">
        <v>74</v>
      </c>
      <c r="E189" s="6">
        <v>270958</v>
      </c>
      <c r="F189" s="6">
        <v>3.09</v>
      </c>
      <c r="G189" s="6">
        <v>14090</v>
      </c>
    </row>
    <row r="190" spans="1:7" ht="29.35" thickBot="1" x14ac:dyDescent="0.35">
      <c r="A190" s="4">
        <v>45775</v>
      </c>
      <c r="B190" s="5" t="s">
        <v>7</v>
      </c>
      <c r="C190" s="6">
        <v>1693</v>
      </c>
      <c r="D190" s="6">
        <v>154</v>
      </c>
      <c r="E190" s="6">
        <v>445944</v>
      </c>
      <c r="F190" s="6">
        <v>5.69</v>
      </c>
      <c r="G190" s="6">
        <v>14216</v>
      </c>
    </row>
    <row r="191" spans="1:7" ht="14.95" thickBot="1" x14ac:dyDescent="0.35">
      <c r="A191" s="4">
        <v>45775</v>
      </c>
      <c r="B191" s="5" t="s">
        <v>8</v>
      </c>
      <c r="C191" s="6">
        <v>833</v>
      </c>
      <c r="D191" s="6">
        <v>380</v>
      </c>
      <c r="E191" s="6">
        <v>224830</v>
      </c>
      <c r="F191" s="6">
        <v>3.86</v>
      </c>
      <c r="G191" s="6">
        <v>3582</v>
      </c>
    </row>
    <row r="192" spans="1:7" ht="14.95" thickBot="1" x14ac:dyDescent="0.35">
      <c r="A192" s="4">
        <v>45775</v>
      </c>
      <c r="B192" s="5" t="s">
        <v>9</v>
      </c>
      <c r="C192" s="6">
        <v>1222</v>
      </c>
      <c r="D192" s="6">
        <v>274</v>
      </c>
      <c r="E192" s="6">
        <v>487289</v>
      </c>
      <c r="F192" s="6">
        <v>3.16</v>
      </c>
      <c r="G192" s="6">
        <v>32500</v>
      </c>
    </row>
    <row r="193" spans="1:7" ht="14.95" thickBot="1" x14ac:dyDescent="0.35">
      <c r="A193" s="4">
        <v>45775</v>
      </c>
      <c r="B193" s="5" t="s">
        <v>10</v>
      </c>
      <c r="C193" s="6">
        <v>777</v>
      </c>
      <c r="D193" s="6">
        <v>140</v>
      </c>
      <c r="E193" s="6">
        <v>11435</v>
      </c>
      <c r="F193" s="6">
        <v>1.6</v>
      </c>
      <c r="G193" s="6">
        <v>6832</v>
      </c>
    </row>
    <row r="194" spans="1:7" ht="29.35" thickBot="1" x14ac:dyDescent="0.35">
      <c r="A194" s="4">
        <v>45782</v>
      </c>
      <c r="B194" s="5" t="s">
        <v>7</v>
      </c>
      <c r="C194" s="6">
        <v>1957</v>
      </c>
      <c r="D194" s="6">
        <v>76</v>
      </c>
      <c r="E194" s="6">
        <v>447902</v>
      </c>
      <c r="F194" s="6">
        <v>6.09</v>
      </c>
      <c r="G194" s="6">
        <v>33381</v>
      </c>
    </row>
    <row r="195" spans="1:7" ht="14.95" thickBot="1" x14ac:dyDescent="0.35">
      <c r="A195" s="4">
        <v>45782</v>
      </c>
      <c r="B195" s="5" t="s">
        <v>8</v>
      </c>
      <c r="C195" s="6">
        <v>405</v>
      </c>
      <c r="D195" s="6">
        <v>66</v>
      </c>
      <c r="E195" s="6">
        <v>418696</v>
      </c>
      <c r="F195" s="6">
        <v>5.59</v>
      </c>
      <c r="G195" s="6">
        <v>48419</v>
      </c>
    </row>
    <row r="196" spans="1:7" ht="14.95" thickBot="1" x14ac:dyDescent="0.35">
      <c r="A196" s="4">
        <v>45782</v>
      </c>
      <c r="B196" s="5" t="s">
        <v>9</v>
      </c>
      <c r="C196" s="6">
        <v>1581</v>
      </c>
      <c r="D196" s="6">
        <v>71</v>
      </c>
      <c r="E196" s="6">
        <v>484364</v>
      </c>
      <c r="F196" s="6">
        <v>3.55</v>
      </c>
      <c r="G196" s="6">
        <v>16149</v>
      </c>
    </row>
    <row r="197" spans="1:7" ht="14.95" thickBot="1" x14ac:dyDescent="0.35">
      <c r="A197" s="4">
        <v>45782</v>
      </c>
      <c r="B197" s="5" t="s">
        <v>10</v>
      </c>
      <c r="C197" s="6">
        <v>1035</v>
      </c>
      <c r="D197" s="6">
        <v>171</v>
      </c>
      <c r="E197" s="6">
        <v>148477</v>
      </c>
      <c r="F197" s="6">
        <v>5.21</v>
      </c>
      <c r="G197" s="6">
        <v>7541</v>
      </c>
    </row>
    <row r="198" spans="1:7" ht="29.35" thickBot="1" x14ac:dyDescent="0.35">
      <c r="A198" s="4">
        <v>45789</v>
      </c>
      <c r="B198" s="5" t="s">
        <v>7</v>
      </c>
      <c r="C198" s="6">
        <v>1765</v>
      </c>
      <c r="D198" s="6">
        <v>109</v>
      </c>
      <c r="E198" s="6">
        <v>468301</v>
      </c>
      <c r="F198" s="6">
        <v>1.82</v>
      </c>
      <c r="G198" s="6">
        <v>20042</v>
      </c>
    </row>
    <row r="199" spans="1:7" ht="14.95" thickBot="1" x14ac:dyDescent="0.35">
      <c r="A199" s="4">
        <v>45789</v>
      </c>
      <c r="B199" s="5" t="s">
        <v>8</v>
      </c>
      <c r="C199" s="6">
        <v>837</v>
      </c>
      <c r="D199" s="6">
        <v>430</v>
      </c>
      <c r="E199" s="6">
        <v>364820</v>
      </c>
      <c r="F199" s="6">
        <v>4</v>
      </c>
      <c r="G199" s="6">
        <v>49400</v>
      </c>
    </row>
    <row r="200" spans="1:7" ht="14.95" thickBot="1" x14ac:dyDescent="0.35">
      <c r="A200" s="4">
        <v>45789</v>
      </c>
      <c r="B200" s="5" t="s">
        <v>9</v>
      </c>
      <c r="C200" s="6">
        <v>337</v>
      </c>
      <c r="D200" s="6">
        <v>68</v>
      </c>
      <c r="E200" s="6">
        <v>456298</v>
      </c>
      <c r="F200" s="6">
        <v>7.57</v>
      </c>
      <c r="G200" s="6">
        <v>4007</v>
      </c>
    </row>
    <row r="201" spans="1:7" ht="14.95" thickBot="1" x14ac:dyDescent="0.35">
      <c r="A201" s="4">
        <v>45789</v>
      </c>
      <c r="B201" s="5" t="s">
        <v>10</v>
      </c>
      <c r="C201" s="6">
        <v>119</v>
      </c>
      <c r="D201" s="6">
        <v>456</v>
      </c>
      <c r="E201" s="6">
        <v>82558</v>
      </c>
      <c r="F201" s="6">
        <v>6.81</v>
      </c>
      <c r="G201" s="6">
        <v>12174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A5D8F-96DD-4882-B761-E93436EDAE37}">
  <dimension ref="A1:J201"/>
  <sheetViews>
    <sheetView topLeftCell="D1" workbookViewId="0">
      <selection activeCell="K24" sqref="K24"/>
    </sheetView>
  </sheetViews>
  <sheetFormatPr defaultRowHeight="14.4" x14ac:dyDescent="0.3"/>
  <cols>
    <col min="1" max="1" width="17.59765625" customWidth="1"/>
    <col min="2" max="2" width="10.19921875" customWidth="1"/>
    <col min="3" max="3" width="15.59765625" customWidth="1"/>
    <col min="4" max="4" width="11.296875" customWidth="1"/>
    <col min="5" max="5" width="16" customWidth="1"/>
    <col min="6" max="6" width="18.19921875" customWidth="1"/>
    <col min="7" max="7" width="11.59765625" customWidth="1"/>
    <col min="8" max="8" width="21.19921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11</v>
      </c>
      <c r="J1" t="s">
        <v>25</v>
      </c>
    </row>
    <row r="2" spans="1:10" x14ac:dyDescent="0.3">
      <c r="A2" s="3">
        <v>45638</v>
      </c>
      <c r="B2" t="s">
        <v>7</v>
      </c>
      <c r="C2">
        <v>1957</v>
      </c>
      <c r="D2">
        <v>76</v>
      </c>
      <c r="E2">
        <v>447902</v>
      </c>
      <c r="F2">
        <v>6.09</v>
      </c>
      <c r="G2">
        <v>33381</v>
      </c>
      <c r="H2">
        <f t="shared" ref="H2:H33" si="0">C2-D2</f>
        <v>1881</v>
      </c>
      <c r="J2">
        <f>CORREL(G2:G300, H2:H300)</f>
        <v>8.5932221904422124E-2</v>
      </c>
    </row>
    <row r="3" spans="1:10" x14ac:dyDescent="0.3">
      <c r="A3" s="3">
        <v>45518</v>
      </c>
      <c r="B3" t="s">
        <v>7</v>
      </c>
      <c r="C3">
        <v>1939</v>
      </c>
      <c r="D3">
        <v>67</v>
      </c>
      <c r="E3">
        <v>187183</v>
      </c>
      <c r="F3">
        <v>6.25</v>
      </c>
      <c r="G3">
        <v>41215</v>
      </c>
      <c r="H3">
        <f t="shared" si="0"/>
        <v>1872</v>
      </c>
    </row>
    <row r="4" spans="1:10" x14ac:dyDescent="0.3">
      <c r="A4" s="3">
        <v>45470</v>
      </c>
      <c r="B4" t="s">
        <v>7</v>
      </c>
      <c r="C4">
        <v>1960</v>
      </c>
      <c r="D4">
        <v>115</v>
      </c>
      <c r="E4">
        <v>154169</v>
      </c>
      <c r="F4">
        <v>3.74</v>
      </c>
      <c r="G4">
        <v>10740</v>
      </c>
      <c r="H4">
        <f t="shared" si="0"/>
        <v>1845</v>
      </c>
    </row>
    <row r="5" spans="1:10" x14ac:dyDescent="0.3">
      <c r="A5" s="3">
        <v>45567</v>
      </c>
      <c r="B5" t="s">
        <v>8</v>
      </c>
      <c r="C5">
        <v>1980</v>
      </c>
      <c r="D5">
        <v>204</v>
      </c>
      <c r="E5">
        <v>379431</v>
      </c>
      <c r="F5">
        <v>3.09</v>
      </c>
      <c r="G5">
        <v>25140</v>
      </c>
      <c r="H5">
        <f t="shared" si="0"/>
        <v>1776</v>
      </c>
    </row>
    <row r="6" spans="1:10" x14ac:dyDescent="0.3">
      <c r="A6" s="3">
        <v>45566</v>
      </c>
      <c r="B6" t="s">
        <v>7</v>
      </c>
      <c r="C6">
        <v>1814</v>
      </c>
      <c r="D6">
        <v>49</v>
      </c>
      <c r="E6">
        <v>140804</v>
      </c>
      <c r="F6">
        <v>1.76</v>
      </c>
      <c r="G6">
        <v>4313</v>
      </c>
      <c r="H6">
        <f t="shared" si="0"/>
        <v>1765</v>
      </c>
    </row>
    <row r="7" spans="1:10" x14ac:dyDescent="0.3">
      <c r="A7" s="3">
        <v>45556</v>
      </c>
      <c r="B7" t="s">
        <v>9</v>
      </c>
      <c r="C7">
        <v>1937</v>
      </c>
      <c r="D7">
        <v>210</v>
      </c>
      <c r="E7">
        <v>20607</v>
      </c>
      <c r="F7">
        <v>4.2</v>
      </c>
      <c r="G7">
        <v>20861</v>
      </c>
      <c r="H7">
        <f t="shared" si="0"/>
        <v>1727</v>
      </c>
    </row>
    <row r="8" spans="1:10" x14ac:dyDescent="0.3">
      <c r="A8" s="3">
        <v>45590</v>
      </c>
      <c r="B8" t="s">
        <v>7</v>
      </c>
      <c r="C8">
        <v>1957</v>
      </c>
      <c r="D8">
        <v>234</v>
      </c>
      <c r="E8">
        <v>222126</v>
      </c>
      <c r="F8">
        <v>4.6100000000000003</v>
      </c>
      <c r="G8">
        <v>3314</v>
      </c>
      <c r="H8">
        <f t="shared" si="0"/>
        <v>1723</v>
      </c>
    </row>
    <row r="9" spans="1:10" x14ac:dyDescent="0.3">
      <c r="A9" s="3">
        <v>45574</v>
      </c>
      <c r="B9" t="s">
        <v>7</v>
      </c>
      <c r="C9">
        <v>1855</v>
      </c>
      <c r="D9">
        <v>133</v>
      </c>
      <c r="E9">
        <v>349413</v>
      </c>
      <c r="F9">
        <v>3.3</v>
      </c>
      <c r="G9">
        <v>14548</v>
      </c>
      <c r="H9">
        <f t="shared" si="0"/>
        <v>1722</v>
      </c>
    </row>
    <row r="10" spans="1:10" x14ac:dyDescent="0.3">
      <c r="A10" s="3">
        <v>45599</v>
      </c>
      <c r="B10" t="s">
        <v>8</v>
      </c>
      <c r="C10">
        <v>1884</v>
      </c>
      <c r="D10">
        <v>177</v>
      </c>
      <c r="E10">
        <v>230448</v>
      </c>
      <c r="F10">
        <v>7.8</v>
      </c>
      <c r="G10">
        <v>22713</v>
      </c>
      <c r="H10">
        <f t="shared" si="0"/>
        <v>1707</v>
      </c>
    </row>
    <row r="11" spans="1:10" x14ac:dyDescent="0.3">
      <c r="A11" s="3">
        <v>45517</v>
      </c>
      <c r="B11" t="s">
        <v>10</v>
      </c>
      <c r="C11">
        <v>1918</v>
      </c>
      <c r="D11">
        <v>212</v>
      </c>
      <c r="E11">
        <v>94360</v>
      </c>
      <c r="F11">
        <v>7.36</v>
      </c>
      <c r="G11">
        <v>36851</v>
      </c>
      <c r="H11">
        <f t="shared" si="0"/>
        <v>1706</v>
      </c>
    </row>
    <row r="12" spans="1:10" x14ac:dyDescent="0.3">
      <c r="A12" s="3">
        <v>45551</v>
      </c>
      <c r="B12" t="s">
        <v>8</v>
      </c>
      <c r="C12">
        <v>1902</v>
      </c>
      <c r="D12">
        <v>196</v>
      </c>
      <c r="E12">
        <v>470269</v>
      </c>
      <c r="F12">
        <v>4.79</v>
      </c>
      <c r="G12">
        <v>26103</v>
      </c>
      <c r="H12">
        <f t="shared" si="0"/>
        <v>1706</v>
      </c>
    </row>
    <row r="13" spans="1:10" x14ac:dyDescent="0.3">
      <c r="A13" s="3">
        <v>45546</v>
      </c>
      <c r="B13" t="s">
        <v>7</v>
      </c>
      <c r="C13">
        <v>1854</v>
      </c>
      <c r="D13">
        <v>161</v>
      </c>
      <c r="E13">
        <v>282466</v>
      </c>
      <c r="F13">
        <v>5.17</v>
      </c>
      <c r="G13">
        <v>1810</v>
      </c>
      <c r="H13">
        <f t="shared" si="0"/>
        <v>1693</v>
      </c>
    </row>
    <row r="14" spans="1:10" x14ac:dyDescent="0.3">
      <c r="A14" s="3">
        <v>45512</v>
      </c>
      <c r="B14" t="s">
        <v>9</v>
      </c>
      <c r="C14">
        <v>1911</v>
      </c>
      <c r="D14">
        <v>231</v>
      </c>
      <c r="E14">
        <v>268516</v>
      </c>
      <c r="F14">
        <v>8.5500000000000007</v>
      </c>
      <c r="G14">
        <v>24018</v>
      </c>
      <c r="H14">
        <f t="shared" si="0"/>
        <v>1680</v>
      </c>
    </row>
    <row r="15" spans="1:10" x14ac:dyDescent="0.3">
      <c r="A15" s="3">
        <v>45620</v>
      </c>
      <c r="B15" t="s">
        <v>9</v>
      </c>
      <c r="C15">
        <v>1946</v>
      </c>
      <c r="D15">
        <v>270</v>
      </c>
      <c r="E15">
        <v>198350</v>
      </c>
      <c r="F15">
        <v>7.5</v>
      </c>
      <c r="G15">
        <v>11805</v>
      </c>
      <c r="H15">
        <f t="shared" si="0"/>
        <v>1676</v>
      </c>
    </row>
    <row r="16" spans="1:10" x14ac:dyDescent="0.3">
      <c r="A16" s="3">
        <v>45466</v>
      </c>
      <c r="B16" t="s">
        <v>7</v>
      </c>
      <c r="C16">
        <v>1757</v>
      </c>
      <c r="D16">
        <v>85</v>
      </c>
      <c r="E16">
        <v>58223</v>
      </c>
      <c r="F16">
        <v>8.74</v>
      </c>
      <c r="G16">
        <v>22728</v>
      </c>
      <c r="H16">
        <f t="shared" si="0"/>
        <v>1672</v>
      </c>
    </row>
    <row r="17" spans="1:8" x14ac:dyDescent="0.3">
      <c r="A17" s="3">
        <v>45459</v>
      </c>
      <c r="B17" t="s">
        <v>8</v>
      </c>
      <c r="C17">
        <v>1779</v>
      </c>
      <c r="D17">
        <v>109</v>
      </c>
      <c r="E17">
        <v>26295</v>
      </c>
      <c r="F17">
        <v>9.1199999999999992</v>
      </c>
      <c r="G17">
        <v>30635</v>
      </c>
      <c r="H17">
        <f t="shared" si="0"/>
        <v>1670</v>
      </c>
    </row>
    <row r="18" spans="1:8" x14ac:dyDescent="0.3">
      <c r="A18" s="3">
        <v>45492</v>
      </c>
      <c r="B18" t="s">
        <v>9</v>
      </c>
      <c r="C18">
        <v>1751</v>
      </c>
      <c r="D18">
        <v>86</v>
      </c>
      <c r="E18">
        <v>188655</v>
      </c>
      <c r="F18">
        <v>7.24</v>
      </c>
      <c r="G18">
        <v>22206</v>
      </c>
      <c r="H18">
        <f t="shared" si="0"/>
        <v>1665</v>
      </c>
    </row>
    <row r="19" spans="1:8" x14ac:dyDescent="0.3">
      <c r="A19" s="3">
        <v>45519</v>
      </c>
      <c r="B19" t="s">
        <v>8</v>
      </c>
      <c r="C19">
        <v>1929</v>
      </c>
      <c r="D19">
        <v>267</v>
      </c>
      <c r="E19">
        <v>379363</v>
      </c>
      <c r="F19">
        <v>1.75</v>
      </c>
      <c r="G19">
        <v>43836</v>
      </c>
      <c r="H19">
        <f t="shared" si="0"/>
        <v>1662</v>
      </c>
    </row>
    <row r="20" spans="1:8" x14ac:dyDescent="0.3">
      <c r="A20" s="3">
        <v>45533</v>
      </c>
      <c r="B20" t="s">
        <v>10</v>
      </c>
      <c r="C20">
        <v>1814</v>
      </c>
      <c r="D20">
        <v>157</v>
      </c>
      <c r="E20">
        <v>305827</v>
      </c>
      <c r="F20">
        <v>1.99</v>
      </c>
      <c r="G20">
        <v>46643</v>
      </c>
      <c r="H20">
        <f t="shared" si="0"/>
        <v>1657</v>
      </c>
    </row>
    <row r="21" spans="1:8" x14ac:dyDescent="0.3">
      <c r="A21" s="3">
        <v>45642</v>
      </c>
      <c r="B21" t="s">
        <v>7</v>
      </c>
      <c r="C21">
        <v>1765</v>
      </c>
      <c r="D21">
        <v>109</v>
      </c>
      <c r="E21">
        <v>468301</v>
      </c>
      <c r="F21">
        <v>1.82</v>
      </c>
      <c r="G21">
        <v>20042</v>
      </c>
      <c r="H21">
        <f t="shared" si="0"/>
        <v>1656</v>
      </c>
    </row>
    <row r="22" spans="1:8" x14ac:dyDescent="0.3">
      <c r="A22" s="3">
        <v>45633</v>
      </c>
      <c r="B22" t="s">
        <v>10</v>
      </c>
      <c r="C22">
        <v>1707</v>
      </c>
      <c r="D22">
        <v>74</v>
      </c>
      <c r="E22">
        <v>270958</v>
      </c>
      <c r="F22">
        <v>3.09</v>
      </c>
      <c r="G22">
        <v>14090</v>
      </c>
      <c r="H22">
        <f t="shared" si="0"/>
        <v>1633</v>
      </c>
    </row>
    <row r="23" spans="1:8" x14ac:dyDescent="0.3">
      <c r="A23" s="3">
        <v>45550</v>
      </c>
      <c r="B23" t="s">
        <v>7</v>
      </c>
      <c r="C23">
        <v>1696</v>
      </c>
      <c r="D23">
        <v>71</v>
      </c>
      <c r="E23">
        <v>421957</v>
      </c>
      <c r="F23">
        <v>3.79</v>
      </c>
      <c r="G23">
        <v>36103</v>
      </c>
      <c r="H23">
        <f t="shared" si="0"/>
        <v>1625</v>
      </c>
    </row>
    <row r="24" spans="1:8" x14ac:dyDescent="0.3">
      <c r="A24" s="3">
        <v>45494</v>
      </c>
      <c r="B24" t="s">
        <v>7</v>
      </c>
      <c r="C24">
        <v>1685</v>
      </c>
      <c r="D24">
        <v>76</v>
      </c>
      <c r="E24">
        <v>453799</v>
      </c>
      <c r="F24">
        <v>5.71</v>
      </c>
      <c r="G24">
        <v>24913</v>
      </c>
      <c r="H24">
        <f t="shared" si="0"/>
        <v>1609</v>
      </c>
    </row>
    <row r="25" spans="1:8" x14ac:dyDescent="0.3">
      <c r="A25" s="3">
        <v>45536</v>
      </c>
      <c r="B25" t="s">
        <v>9</v>
      </c>
      <c r="C25">
        <v>1821</v>
      </c>
      <c r="D25">
        <v>218</v>
      </c>
      <c r="E25">
        <v>439080</v>
      </c>
      <c r="F25">
        <v>5.68</v>
      </c>
      <c r="G25">
        <v>36095</v>
      </c>
      <c r="H25">
        <f t="shared" si="0"/>
        <v>1603</v>
      </c>
    </row>
    <row r="26" spans="1:8" x14ac:dyDescent="0.3">
      <c r="A26" s="3">
        <v>45595</v>
      </c>
      <c r="B26" t="s">
        <v>8</v>
      </c>
      <c r="C26">
        <v>1895</v>
      </c>
      <c r="D26">
        <v>305</v>
      </c>
      <c r="E26">
        <v>104967</v>
      </c>
      <c r="F26">
        <v>3.85</v>
      </c>
      <c r="G26">
        <v>31853</v>
      </c>
      <c r="H26">
        <f t="shared" si="0"/>
        <v>1590</v>
      </c>
    </row>
    <row r="27" spans="1:8" x14ac:dyDescent="0.3">
      <c r="A27" s="3">
        <v>45565</v>
      </c>
      <c r="B27" t="s">
        <v>10</v>
      </c>
      <c r="C27">
        <v>1900</v>
      </c>
      <c r="D27">
        <v>311</v>
      </c>
      <c r="E27">
        <v>25177</v>
      </c>
      <c r="F27">
        <v>2.89</v>
      </c>
      <c r="G27">
        <v>14154</v>
      </c>
      <c r="H27">
        <f t="shared" si="0"/>
        <v>1589</v>
      </c>
    </row>
    <row r="28" spans="1:8" x14ac:dyDescent="0.3">
      <c r="A28" s="3">
        <v>45502</v>
      </c>
      <c r="B28" t="s">
        <v>7</v>
      </c>
      <c r="C28">
        <v>1592</v>
      </c>
      <c r="D28">
        <v>20</v>
      </c>
      <c r="E28">
        <v>378054</v>
      </c>
      <c r="F28">
        <v>9.09</v>
      </c>
      <c r="G28">
        <v>26663</v>
      </c>
      <c r="H28">
        <f t="shared" si="0"/>
        <v>1572</v>
      </c>
    </row>
    <row r="29" spans="1:8" x14ac:dyDescent="0.3">
      <c r="A29" s="3">
        <v>45578</v>
      </c>
      <c r="B29" t="s">
        <v>7</v>
      </c>
      <c r="C29">
        <v>1748</v>
      </c>
      <c r="D29">
        <v>176</v>
      </c>
      <c r="E29">
        <v>383681</v>
      </c>
      <c r="F29">
        <v>9.24</v>
      </c>
      <c r="G29">
        <v>43122</v>
      </c>
      <c r="H29">
        <f t="shared" si="0"/>
        <v>1572</v>
      </c>
    </row>
    <row r="30" spans="1:8" x14ac:dyDescent="0.3">
      <c r="A30" s="3">
        <v>45634</v>
      </c>
      <c r="B30" t="s">
        <v>7</v>
      </c>
      <c r="C30">
        <v>1693</v>
      </c>
      <c r="D30">
        <v>154</v>
      </c>
      <c r="E30">
        <v>445944</v>
      </c>
      <c r="F30">
        <v>5.69</v>
      </c>
      <c r="G30">
        <v>14216</v>
      </c>
      <c r="H30">
        <f t="shared" si="0"/>
        <v>1539</v>
      </c>
    </row>
    <row r="31" spans="1:8" x14ac:dyDescent="0.3">
      <c r="A31" s="3">
        <v>45568</v>
      </c>
      <c r="B31" t="s">
        <v>9</v>
      </c>
      <c r="C31">
        <v>1786</v>
      </c>
      <c r="D31">
        <v>257</v>
      </c>
      <c r="E31">
        <v>274831</v>
      </c>
      <c r="F31">
        <v>4.68</v>
      </c>
      <c r="G31">
        <v>9118</v>
      </c>
      <c r="H31">
        <f t="shared" si="0"/>
        <v>1529</v>
      </c>
    </row>
    <row r="32" spans="1:8" x14ac:dyDescent="0.3">
      <c r="A32" s="3">
        <v>45640</v>
      </c>
      <c r="B32" t="s">
        <v>9</v>
      </c>
      <c r="C32">
        <v>1581</v>
      </c>
      <c r="D32">
        <v>71</v>
      </c>
      <c r="E32">
        <v>484364</v>
      </c>
      <c r="F32">
        <v>3.55</v>
      </c>
      <c r="G32">
        <v>16149</v>
      </c>
      <c r="H32">
        <f t="shared" si="0"/>
        <v>1510</v>
      </c>
    </row>
    <row r="33" spans="1:8" x14ac:dyDescent="0.3">
      <c r="A33" s="3">
        <v>45480</v>
      </c>
      <c r="B33" t="s">
        <v>9</v>
      </c>
      <c r="C33">
        <v>1756</v>
      </c>
      <c r="D33">
        <v>261</v>
      </c>
      <c r="E33">
        <v>287574</v>
      </c>
      <c r="F33">
        <v>4.3600000000000003</v>
      </c>
      <c r="G33">
        <v>39272</v>
      </c>
      <c r="H33">
        <f t="shared" si="0"/>
        <v>1495</v>
      </c>
    </row>
    <row r="34" spans="1:8" x14ac:dyDescent="0.3">
      <c r="A34" s="3">
        <v>45529</v>
      </c>
      <c r="B34" t="s">
        <v>10</v>
      </c>
      <c r="C34">
        <v>1707</v>
      </c>
      <c r="D34">
        <v>223</v>
      </c>
      <c r="E34">
        <v>256910</v>
      </c>
      <c r="F34">
        <v>5.41</v>
      </c>
      <c r="G34">
        <v>44321</v>
      </c>
      <c r="H34">
        <f t="shared" ref="H34:H65" si="1">C34-D34</f>
        <v>1484</v>
      </c>
    </row>
    <row r="35" spans="1:8" x14ac:dyDescent="0.3">
      <c r="A35" s="3">
        <v>45621</v>
      </c>
      <c r="B35" t="s">
        <v>10</v>
      </c>
      <c r="C35">
        <v>1957</v>
      </c>
      <c r="D35">
        <v>490</v>
      </c>
      <c r="E35">
        <v>435726</v>
      </c>
      <c r="F35">
        <v>4.7300000000000004</v>
      </c>
      <c r="G35">
        <v>15969</v>
      </c>
      <c r="H35">
        <f t="shared" si="1"/>
        <v>1467</v>
      </c>
    </row>
    <row r="36" spans="1:8" x14ac:dyDescent="0.3">
      <c r="A36" s="3">
        <v>45569</v>
      </c>
      <c r="B36" t="s">
        <v>10</v>
      </c>
      <c r="C36">
        <v>1495</v>
      </c>
      <c r="D36">
        <v>35</v>
      </c>
      <c r="E36">
        <v>136845</v>
      </c>
      <c r="F36">
        <v>4.4800000000000004</v>
      </c>
      <c r="G36">
        <v>39931</v>
      </c>
      <c r="H36">
        <f t="shared" si="1"/>
        <v>1460</v>
      </c>
    </row>
    <row r="37" spans="1:8" x14ac:dyDescent="0.3">
      <c r="A37" s="3">
        <v>45593</v>
      </c>
      <c r="B37" t="s">
        <v>10</v>
      </c>
      <c r="C37">
        <v>1707</v>
      </c>
      <c r="D37">
        <v>263</v>
      </c>
      <c r="E37">
        <v>485280</v>
      </c>
      <c r="F37">
        <v>9.0299999999999994</v>
      </c>
      <c r="G37">
        <v>24494</v>
      </c>
      <c r="H37">
        <f t="shared" si="1"/>
        <v>1444</v>
      </c>
    </row>
    <row r="38" spans="1:8" x14ac:dyDescent="0.3">
      <c r="A38" s="3">
        <v>45558</v>
      </c>
      <c r="B38" t="s">
        <v>7</v>
      </c>
      <c r="C38">
        <v>1502</v>
      </c>
      <c r="D38">
        <v>70</v>
      </c>
      <c r="E38">
        <v>465553</v>
      </c>
      <c r="F38">
        <v>3.32</v>
      </c>
      <c r="G38">
        <v>20692</v>
      </c>
      <c r="H38">
        <f t="shared" si="1"/>
        <v>1432</v>
      </c>
    </row>
    <row r="39" spans="1:8" x14ac:dyDescent="0.3">
      <c r="A39" s="3">
        <v>45503</v>
      </c>
      <c r="B39" t="s">
        <v>8</v>
      </c>
      <c r="C39">
        <v>1842</v>
      </c>
      <c r="D39">
        <v>414</v>
      </c>
      <c r="E39">
        <v>307524</v>
      </c>
      <c r="F39">
        <v>1.76</v>
      </c>
      <c r="G39">
        <v>40478</v>
      </c>
      <c r="H39">
        <f t="shared" si="1"/>
        <v>1428</v>
      </c>
    </row>
    <row r="40" spans="1:8" x14ac:dyDescent="0.3">
      <c r="A40" s="3">
        <v>45584</v>
      </c>
      <c r="B40" t="s">
        <v>9</v>
      </c>
      <c r="C40">
        <v>1501</v>
      </c>
      <c r="D40">
        <v>75</v>
      </c>
      <c r="E40">
        <v>262569</v>
      </c>
      <c r="F40">
        <v>2.0099999999999998</v>
      </c>
      <c r="G40">
        <v>19119</v>
      </c>
      <c r="H40">
        <f t="shared" si="1"/>
        <v>1426</v>
      </c>
    </row>
    <row r="41" spans="1:8" x14ac:dyDescent="0.3">
      <c r="A41" s="3">
        <v>45534</v>
      </c>
      <c r="B41" t="s">
        <v>7</v>
      </c>
      <c r="C41">
        <v>1466</v>
      </c>
      <c r="D41">
        <v>69</v>
      </c>
      <c r="E41">
        <v>54935</v>
      </c>
      <c r="F41">
        <v>6.85</v>
      </c>
      <c r="G41">
        <v>36484</v>
      </c>
      <c r="H41">
        <f t="shared" si="1"/>
        <v>1397</v>
      </c>
    </row>
    <row r="42" spans="1:8" x14ac:dyDescent="0.3">
      <c r="A42" s="3">
        <v>45613</v>
      </c>
      <c r="B42" t="s">
        <v>10</v>
      </c>
      <c r="C42">
        <v>1596</v>
      </c>
      <c r="D42">
        <v>211</v>
      </c>
      <c r="E42">
        <v>17380</v>
      </c>
      <c r="F42">
        <v>8.64</v>
      </c>
      <c r="G42">
        <v>35801</v>
      </c>
      <c r="H42">
        <f t="shared" si="1"/>
        <v>1385</v>
      </c>
    </row>
    <row r="43" spans="1:8" x14ac:dyDescent="0.3">
      <c r="A43" s="3">
        <v>45455</v>
      </c>
      <c r="B43" t="s">
        <v>8</v>
      </c>
      <c r="C43">
        <v>1753</v>
      </c>
      <c r="D43">
        <v>371</v>
      </c>
      <c r="E43">
        <v>169496</v>
      </c>
      <c r="F43">
        <v>8.11</v>
      </c>
      <c r="G43">
        <v>46670</v>
      </c>
      <c r="H43">
        <f t="shared" si="1"/>
        <v>1382</v>
      </c>
    </row>
    <row r="44" spans="1:8" x14ac:dyDescent="0.3">
      <c r="A44" s="3">
        <v>45559</v>
      </c>
      <c r="B44" t="s">
        <v>8</v>
      </c>
      <c r="C44">
        <v>1623</v>
      </c>
      <c r="D44">
        <v>246</v>
      </c>
      <c r="E44">
        <v>415815</v>
      </c>
      <c r="F44">
        <v>8.11</v>
      </c>
      <c r="G44">
        <v>18656</v>
      </c>
      <c r="H44">
        <f t="shared" si="1"/>
        <v>1377</v>
      </c>
    </row>
    <row r="45" spans="1:8" x14ac:dyDescent="0.3">
      <c r="A45" s="3">
        <v>45598</v>
      </c>
      <c r="B45" t="s">
        <v>7</v>
      </c>
      <c r="C45">
        <v>1440</v>
      </c>
      <c r="D45">
        <v>65</v>
      </c>
      <c r="E45">
        <v>126524</v>
      </c>
      <c r="F45">
        <v>4.34</v>
      </c>
      <c r="G45">
        <v>49772</v>
      </c>
      <c r="H45">
        <f t="shared" si="1"/>
        <v>1375</v>
      </c>
    </row>
    <row r="46" spans="1:8" x14ac:dyDescent="0.3">
      <c r="A46" s="3">
        <v>45555</v>
      </c>
      <c r="B46" t="s">
        <v>8</v>
      </c>
      <c r="C46">
        <v>1514</v>
      </c>
      <c r="D46">
        <v>141</v>
      </c>
      <c r="E46">
        <v>35842</v>
      </c>
      <c r="F46">
        <v>7.47</v>
      </c>
      <c r="G46">
        <v>18601</v>
      </c>
      <c r="H46">
        <f t="shared" si="1"/>
        <v>1373</v>
      </c>
    </row>
    <row r="47" spans="1:8" x14ac:dyDescent="0.3">
      <c r="A47" s="3">
        <v>45560</v>
      </c>
      <c r="B47" t="s">
        <v>9</v>
      </c>
      <c r="C47">
        <v>1592</v>
      </c>
      <c r="D47">
        <v>233</v>
      </c>
      <c r="E47">
        <v>327183</v>
      </c>
      <c r="F47">
        <v>6.66</v>
      </c>
      <c r="G47">
        <v>13316</v>
      </c>
      <c r="H47">
        <f t="shared" si="1"/>
        <v>1359</v>
      </c>
    </row>
    <row r="48" spans="1:8" x14ac:dyDescent="0.3">
      <c r="A48" s="3">
        <v>45464</v>
      </c>
      <c r="B48" t="s">
        <v>9</v>
      </c>
      <c r="C48">
        <v>1420</v>
      </c>
      <c r="D48">
        <v>63</v>
      </c>
      <c r="E48">
        <v>315305</v>
      </c>
      <c r="F48">
        <v>6.19</v>
      </c>
      <c r="G48">
        <v>5914</v>
      </c>
      <c r="H48">
        <f t="shared" si="1"/>
        <v>1357</v>
      </c>
    </row>
    <row r="49" spans="1:8" x14ac:dyDescent="0.3">
      <c r="A49" s="3">
        <v>45608</v>
      </c>
      <c r="B49" t="s">
        <v>9</v>
      </c>
      <c r="C49">
        <v>1399</v>
      </c>
      <c r="D49">
        <v>49</v>
      </c>
      <c r="E49">
        <v>12471</v>
      </c>
      <c r="F49">
        <v>5.12</v>
      </c>
      <c r="G49">
        <v>14722</v>
      </c>
      <c r="H49">
        <f t="shared" si="1"/>
        <v>1350</v>
      </c>
    </row>
    <row r="50" spans="1:8" x14ac:dyDescent="0.3">
      <c r="A50" s="3">
        <v>45487</v>
      </c>
      <c r="B50" t="s">
        <v>8</v>
      </c>
      <c r="C50">
        <v>1534</v>
      </c>
      <c r="D50">
        <v>200</v>
      </c>
      <c r="E50">
        <v>307612</v>
      </c>
      <c r="F50">
        <v>6.01</v>
      </c>
      <c r="G50">
        <v>37903</v>
      </c>
      <c r="H50">
        <f t="shared" si="1"/>
        <v>1334</v>
      </c>
    </row>
    <row r="51" spans="1:8" x14ac:dyDescent="0.3">
      <c r="A51" s="3">
        <v>45547</v>
      </c>
      <c r="B51" t="s">
        <v>8</v>
      </c>
      <c r="C51">
        <v>1710</v>
      </c>
      <c r="D51">
        <v>378</v>
      </c>
      <c r="E51">
        <v>336661</v>
      </c>
      <c r="F51">
        <v>6.2</v>
      </c>
      <c r="G51">
        <v>28498</v>
      </c>
      <c r="H51">
        <f t="shared" si="1"/>
        <v>1332</v>
      </c>
    </row>
    <row r="52" spans="1:8" x14ac:dyDescent="0.3">
      <c r="A52" s="3">
        <v>45486</v>
      </c>
      <c r="B52" t="s">
        <v>7</v>
      </c>
      <c r="C52">
        <v>1528</v>
      </c>
      <c r="D52">
        <v>203</v>
      </c>
      <c r="E52">
        <v>489188</v>
      </c>
      <c r="F52">
        <v>6.23</v>
      </c>
      <c r="G52">
        <v>47101</v>
      </c>
      <c r="H52">
        <f t="shared" si="1"/>
        <v>1325</v>
      </c>
    </row>
    <row r="53" spans="1:8" x14ac:dyDescent="0.3">
      <c r="A53" s="3">
        <v>45476</v>
      </c>
      <c r="B53" t="s">
        <v>9</v>
      </c>
      <c r="C53">
        <v>1701</v>
      </c>
      <c r="D53">
        <v>385</v>
      </c>
      <c r="E53">
        <v>198278</v>
      </c>
      <c r="F53">
        <v>5.34</v>
      </c>
      <c r="G53">
        <v>32763</v>
      </c>
      <c r="H53">
        <f t="shared" si="1"/>
        <v>1316</v>
      </c>
    </row>
    <row r="54" spans="1:8" x14ac:dyDescent="0.3">
      <c r="A54" s="3">
        <v>45602</v>
      </c>
      <c r="B54" t="s">
        <v>7</v>
      </c>
      <c r="C54">
        <v>1371</v>
      </c>
      <c r="D54">
        <v>56</v>
      </c>
      <c r="E54">
        <v>257579</v>
      </c>
      <c r="F54">
        <v>8.6199999999999992</v>
      </c>
      <c r="G54">
        <v>33799</v>
      </c>
      <c r="H54">
        <f t="shared" si="1"/>
        <v>1315</v>
      </c>
    </row>
    <row r="55" spans="1:8" x14ac:dyDescent="0.3">
      <c r="A55" s="3">
        <v>45456</v>
      </c>
      <c r="B55" t="s">
        <v>9</v>
      </c>
      <c r="C55">
        <v>1335</v>
      </c>
      <c r="D55">
        <v>40</v>
      </c>
      <c r="E55">
        <v>122732</v>
      </c>
      <c r="F55">
        <v>8.19</v>
      </c>
      <c r="G55">
        <v>22482</v>
      </c>
      <c r="H55">
        <f t="shared" si="1"/>
        <v>1295</v>
      </c>
    </row>
    <row r="56" spans="1:8" x14ac:dyDescent="0.3">
      <c r="A56" s="3">
        <v>45451</v>
      </c>
      <c r="B56" t="s">
        <v>8</v>
      </c>
      <c r="C56">
        <v>1697</v>
      </c>
      <c r="D56">
        <v>414</v>
      </c>
      <c r="E56">
        <v>316555</v>
      </c>
      <c r="F56">
        <v>2.37</v>
      </c>
      <c r="G56">
        <v>7924</v>
      </c>
      <c r="H56">
        <f t="shared" si="1"/>
        <v>1283</v>
      </c>
    </row>
    <row r="57" spans="1:8" x14ac:dyDescent="0.3">
      <c r="A57" s="3">
        <v>45498</v>
      </c>
      <c r="B57" t="s">
        <v>7</v>
      </c>
      <c r="C57">
        <v>1429</v>
      </c>
      <c r="D57">
        <v>182</v>
      </c>
      <c r="E57">
        <v>101332</v>
      </c>
      <c r="F57">
        <v>7.16</v>
      </c>
      <c r="G57">
        <v>37829</v>
      </c>
      <c r="H57">
        <f t="shared" si="1"/>
        <v>1247</v>
      </c>
    </row>
    <row r="58" spans="1:8" x14ac:dyDescent="0.3">
      <c r="A58" s="3">
        <v>45609</v>
      </c>
      <c r="B58" t="s">
        <v>10</v>
      </c>
      <c r="C58">
        <v>1658</v>
      </c>
      <c r="D58">
        <v>416</v>
      </c>
      <c r="E58">
        <v>98397</v>
      </c>
      <c r="F58">
        <v>6.11</v>
      </c>
      <c r="G58">
        <v>11383</v>
      </c>
      <c r="H58">
        <f t="shared" si="1"/>
        <v>1242</v>
      </c>
    </row>
    <row r="59" spans="1:8" x14ac:dyDescent="0.3">
      <c r="A59" s="3">
        <v>45496</v>
      </c>
      <c r="B59" t="s">
        <v>9</v>
      </c>
      <c r="C59">
        <v>1300</v>
      </c>
      <c r="D59">
        <v>71</v>
      </c>
      <c r="E59">
        <v>186454</v>
      </c>
      <c r="F59">
        <v>3.91</v>
      </c>
      <c r="G59">
        <v>9942</v>
      </c>
      <c r="H59">
        <f t="shared" si="1"/>
        <v>1229</v>
      </c>
    </row>
    <row r="60" spans="1:8" x14ac:dyDescent="0.3">
      <c r="A60" s="3">
        <v>45585</v>
      </c>
      <c r="B60" t="s">
        <v>10</v>
      </c>
      <c r="C60">
        <v>1411</v>
      </c>
      <c r="D60">
        <v>186</v>
      </c>
      <c r="E60">
        <v>461669</v>
      </c>
      <c r="F60">
        <v>3.72</v>
      </c>
      <c r="G60">
        <v>43999</v>
      </c>
      <c r="H60">
        <f t="shared" si="1"/>
        <v>1225</v>
      </c>
    </row>
    <row r="61" spans="1:8" x14ac:dyDescent="0.3">
      <c r="A61" s="3">
        <v>45522</v>
      </c>
      <c r="B61" t="s">
        <v>7</v>
      </c>
      <c r="C61">
        <v>1527</v>
      </c>
      <c r="D61">
        <v>303</v>
      </c>
      <c r="E61">
        <v>388555</v>
      </c>
      <c r="F61">
        <v>8.9</v>
      </c>
      <c r="G61">
        <v>36397</v>
      </c>
      <c r="H61">
        <f t="shared" si="1"/>
        <v>1224</v>
      </c>
    </row>
    <row r="62" spans="1:8" x14ac:dyDescent="0.3">
      <c r="A62" s="3">
        <v>45592</v>
      </c>
      <c r="B62" t="s">
        <v>9</v>
      </c>
      <c r="C62">
        <v>1587</v>
      </c>
      <c r="D62">
        <v>385</v>
      </c>
      <c r="E62">
        <v>126582</v>
      </c>
      <c r="F62">
        <v>6.99</v>
      </c>
      <c r="G62">
        <v>42832</v>
      </c>
      <c r="H62">
        <f t="shared" si="1"/>
        <v>1202</v>
      </c>
    </row>
    <row r="63" spans="1:8" x14ac:dyDescent="0.3">
      <c r="A63" s="3">
        <v>45572</v>
      </c>
      <c r="B63" t="s">
        <v>9</v>
      </c>
      <c r="C63">
        <v>1633</v>
      </c>
      <c r="D63">
        <v>445</v>
      </c>
      <c r="E63">
        <v>371156</v>
      </c>
      <c r="F63">
        <v>2.2200000000000002</v>
      </c>
      <c r="G63">
        <v>2798</v>
      </c>
      <c r="H63">
        <f t="shared" si="1"/>
        <v>1188</v>
      </c>
    </row>
    <row r="64" spans="1:8" x14ac:dyDescent="0.3">
      <c r="A64" s="3">
        <v>45597</v>
      </c>
      <c r="B64" t="s">
        <v>10</v>
      </c>
      <c r="C64">
        <v>1662</v>
      </c>
      <c r="D64">
        <v>487</v>
      </c>
      <c r="E64">
        <v>105980</v>
      </c>
      <c r="F64">
        <v>9.08</v>
      </c>
      <c r="G64">
        <v>22996</v>
      </c>
      <c r="H64">
        <f t="shared" si="1"/>
        <v>1175</v>
      </c>
    </row>
    <row r="65" spans="1:8" x14ac:dyDescent="0.3">
      <c r="A65" s="3">
        <v>45552</v>
      </c>
      <c r="B65" t="s">
        <v>9</v>
      </c>
      <c r="C65">
        <v>1441</v>
      </c>
      <c r="D65">
        <v>268</v>
      </c>
      <c r="E65">
        <v>309904</v>
      </c>
      <c r="F65">
        <v>6.37</v>
      </c>
      <c r="G65">
        <v>3455</v>
      </c>
      <c r="H65">
        <f t="shared" si="1"/>
        <v>1173</v>
      </c>
    </row>
    <row r="66" spans="1:8" x14ac:dyDescent="0.3">
      <c r="A66" s="3">
        <v>45540</v>
      </c>
      <c r="B66" t="s">
        <v>9</v>
      </c>
      <c r="C66">
        <v>1487</v>
      </c>
      <c r="D66">
        <v>337</v>
      </c>
      <c r="E66">
        <v>87305</v>
      </c>
      <c r="F66">
        <v>2.46</v>
      </c>
      <c r="G66">
        <v>30428</v>
      </c>
      <c r="H66">
        <f t="shared" ref="H66:H97" si="2">C66-D66</f>
        <v>1150</v>
      </c>
    </row>
    <row r="67" spans="1:8" x14ac:dyDescent="0.3">
      <c r="A67" s="3">
        <v>45508</v>
      </c>
      <c r="B67" t="s">
        <v>9</v>
      </c>
      <c r="C67">
        <v>1472</v>
      </c>
      <c r="D67">
        <v>347</v>
      </c>
      <c r="E67">
        <v>392355</v>
      </c>
      <c r="F67">
        <v>8.59</v>
      </c>
      <c r="G67">
        <v>30270</v>
      </c>
      <c r="H67">
        <f t="shared" si="2"/>
        <v>1125</v>
      </c>
    </row>
    <row r="68" spans="1:8" x14ac:dyDescent="0.3">
      <c r="A68" s="3">
        <v>45554</v>
      </c>
      <c r="B68" t="s">
        <v>7</v>
      </c>
      <c r="C68">
        <v>1494</v>
      </c>
      <c r="D68">
        <v>375</v>
      </c>
      <c r="E68">
        <v>220616</v>
      </c>
      <c r="F68">
        <v>1.81</v>
      </c>
      <c r="G68">
        <v>22724</v>
      </c>
      <c r="H68">
        <f t="shared" si="2"/>
        <v>1119</v>
      </c>
    </row>
    <row r="69" spans="1:8" x14ac:dyDescent="0.3">
      <c r="A69" s="3">
        <v>45611</v>
      </c>
      <c r="B69" t="s">
        <v>8</v>
      </c>
      <c r="C69">
        <v>1358</v>
      </c>
      <c r="D69">
        <v>242</v>
      </c>
      <c r="E69">
        <v>342129</v>
      </c>
      <c r="F69">
        <v>4.9400000000000004</v>
      </c>
      <c r="G69">
        <v>29116</v>
      </c>
      <c r="H69">
        <f t="shared" si="2"/>
        <v>1116</v>
      </c>
    </row>
    <row r="70" spans="1:8" x14ac:dyDescent="0.3">
      <c r="A70" s="3">
        <v>45505</v>
      </c>
      <c r="B70" t="s">
        <v>10</v>
      </c>
      <c r="C70">
        <v>1409</v>
      </c>
      <c r="D70">
        <v>309</v>
      </c>
      <c r="E70">
        <v>64583</v>
      </c>
      <c r="F70">
        <v>8.99</v>
      </c>
      <c r="G70">
        <v>10217</v>
      </c>
      <c r="H70">
        <f t="shared" si="2"/>
        <v>1100</v>
      </c>
    </row>
    <row r="71" spans="1:8" x14ac:dyDescent="0.3">
      <c r="A71" s="3">
        <v>45449</v>
      </c>
      <c r="B71" t="s">
        <v>10</v>
      </c>
      <c r="C71">
        <v>1535</v>
      </c>
      <c r="D71">
        <v>445</v>
      </c>
      <c r="E71">
        <v>395536</v>
      </c>
      <c r="F71">
        <v>4.1100000000000003</v>
      </c>
      <c r="G71">
        <v>30671</v>
      </c>
      <c r="H71">
        <f t="shared" si="2"/>
        <v>1090</v>
      </c>
    </row>
    <row r="72" spans="1:8" x14ac:dyDescent="0.3">
      <c r="A72" s="3">
        <v>45586</v>
      </c>
      <c r="B72" t="s">
        <v>7</v>
      </c>
      <c r="C72">
        <v>1556</v>
      </c>
      <c r="D72">
        <v>476</v>
      </c>
      <c r="E72">
        <v>351556</v>
      </c>
      <c r="F72">
        <v>3.89</v>
      </c>
      <c r="G72">
        <v>10825</v>
      </c>
      <c r="H72">
        <f t="shared" si="2"/>
        <v>1080</v>
      </c>
    </row>
    <row r="73" spans="1:8" x14ac:dyDescent="0.3">
      <c r="A73" s="3">
        <v>45491</v>
      </c>
      <c r="B73" t="s">
        <v>8</v>
      </c>
      <c r="C73">
        <v>1078</v>
      </c>
      <c r="D73">
        <v>20</v>
      </c>
      <c r="E73">
        <v>183924</v>
      </c>
      <c r="F73">
        <v>8.84</v>
      </c>
      <c r="G73">
        <v>14203</v>
      </c>
      <c r="H73">
        <f t="shared" si="2"/>
        <v>1058</v>
      </c>
    </row>
    <row r="74" spans="1:8" x14ac:dyDescent="0.3">
      <c r="A74" s="3">
        <v>45446</v>
      </c>
      <c r="B74" t="s">
        <v>7</v>
      </c>
      <c r="C74">
        <v>1135</v>
      </c>
      <c r="D74">
        <v>88</v>
      </c>
      <c r="E74">
        <v>344084</v>
      </c>
      <c r="F74">
        <v>8.06</v>
      </c>
      <c r="G74">
        <v>5904</v>
      </c>
      <c r="H74">
        <f t="shared" si="2"/>
        <v>1047</v>
      </c>
    </row>
    <row r="75" spans="1:8" x14ac:dyDescent="0.3">
      <c r="A75" s="3">
        <v>45499</v>
      </c>
      <c r="B75" t="s">
        <v>8</v>
      </c>
      <c r="C75">
        <v>1520</v>
      </c>
      <c r="D75">
        <v>475</v>
      </c>
      <c r="E75">
        <v>496982</v>
      </c>
      <c r="F75">
        <v>6.41</v>
      </c>
      <c r="G75">
        <v>24384</v>
      </c>
      <c r="H75">
        <f t="shared" si="2"/>
        <v>1045</v>
      </c>
    </row>
    <row r="76" spans="1:8" x14ac:dyDescent="0.3">
      <c r="A76" s="3">
        <v>45631</v>
      </c>
      <c r="B76" t="s">
        <v>8</v>
      </c>
      <c r="C76">
        <v>1375</v>
      </c>
      <c r="D76">
        <v>330</v>
      </c>
      <c r="E76">
        <v>377382</v>
      </c>
      <c r="F76">
        <v>2.6</v>
      </c>
      <c r="G76">
        <v>7875</v>
      </c>
      <c r="H76">
        <f t="shared" si="2"/>
        <v>1045</v>
      </c>
    </row>
    <row r="77" spans="1:8" x14ac:dyDescent="0.3">
      <c r="A77" s="3">
        <v>45537</v>
      </c>
      <c r="B77" t="s">
        <v>10</v>
      </c>
      <c r="C77">
        <v>1507</v>
      </c>
      <c r="D77">
        <v>463</v>
      </c>
      <c r="E77">
        <v>258944</v>
      </c>
      <c r="F77">
        <v>6.08</v>
      </c>
      <c r="G77">
        <v>16443</v>
      </c>
      <c r="H77">
        <f t="shared" si="2"/>
        <v>1044</v>
      </c>
    </row>
    <row r="78" spans="1:8" x14ac:dyDescent="0.3">
      <c r="A78" s="3">
        <v>45489</v>
      </c>
      <c r="B78" t="s">
        <v>10</v>
      </c>
      <c r="C78">
        <v>1210</v>
      </c>
      <c r="D78">
        <v>178</v>
      </c>
      <c r="E78">
        <v>102042</v>
      </c>
      <c r="F78">
        <v>5.42</v>
      </c>
      <c r="G78">
        <v>6915</v>
      </c>
      <c r="H78">
        <f t="shared" si="2"/>
        <v>1032</v>
      </c>
    </row>
    <row r="79" spans="1:8" x14ac:dyDescent="0.3">
      <c r="A79" s="3">
        <v>45623</v>
      </c>
      <c r="B79" t="s">
        <v>8</v>
      </c>
      <c r="C79">
        <v>1307</v>
      </c>
      <c r="D79">
        <v>278</v>
      </c>
      <c r="E79">
        <v>98596</v>
      </c>
      <c r="F79">
        <v>2.4900000000000002</v>
      </c>
      <c r="G79">
        <v>47603</v>
      </c>
      <c r="H79">
        <f t="shared" si="2"/>
        <v>1029</v>
      </c>
    </row>
    <row r="80" spans="1:8" x14ac:dyDescent="0.3">
      <c r="A80" s="3">
        <v>45514</v>
      </c>
      <c r="B80" t="s">
        <v>7</v>
      </c>
      <c r="C80">
        <v>1433</v>
      </c>
      <c r="D80">
        <v>408</v>
      </c>
      <c r="E80">
        <v>370269</v>
      </c>
      <c r="F80">
        <v>3.3</v>
      </c>
      <c r="G80">
        <v>30575</v>
      </c>
      <c r="H80">
        <f t="shared" si="2"/>
        <v>1025</v>
      </c>
    </row>
    <row r="81" spans="1:8" x14ac:dyDescent="0.3">
      <c r="A81" s="3">
        <v>45601</v>
      </c>
      <c r="B81" t="s">
        <v>10</v>
      </c>
      <c r="C81">
        <v>1063</v>
      </c>
      <c r="D81">
        <v>47</v>
      </c>
      <c r="E81">
        <v>464239</v>
      </c>
      <c r="F81">
        <v>6.58</v>
      </c>
      <c r="G81">
        <v>39031</v>
      </c>
      <c r="H81">
        <f t="shared" si="2"/>
        <v>1016</v>
      </c>
    </row>
    <row r="82" spans="1:8" x14ac:dyDescent="0.3">
      <c r="A82" s="3">
        <v>45624</v>
      </c>
      <c r="B82" t="s">
        <v>9</v>
      </c>
      <c r="C82">
        <v>1432</v>
      </c>
      <c r="D82">
        <v>425</v>
      </c>
      <c r="E82">
        <v>29589</v>
      </c>
      <c r="F82">
        <v>4.5</v>
      </c>
      <c r="G82">
        <v>42964</v>
      </c>
      <c r="H82">
        <f t="shared" si="2"/>
        <v>1007</v>
      </c>
    </row>
    <row r="83" spans="1:8" x14ac:dyDescent="0.3">
      <c r="A83" s="3">
        <v>45513</v>
      </c>
      <c r="B83" t="s">
        <v>10</v>
      </c>
      <c r="C83">
        <v>1218</v>
      </c>
      <c r="D83">
        <v>212</v>
      </c>
      <c r="E83">
        <v>63177</v>
      </c>
      <c r="F83">
        <v>8.1300000000000008</v>
      </c>
      <c r="G83">
        <v>38883</v>
      </c>
      <c r="H83">
        <f t="shared" si="2"/>
        <v>1006</v>
      </c>
    </row>
    <row r="84" spans="1:8" x14ac:dyDescent="0.3">
      <c r="A84" s="3">
        <v>45447</v>
      </c>
      <c r="B84" t="s">
        <v>8</v>
      </c>
      <c r="C84">
        <v>1312</v>
      </c>
      <c r="D84">
        <v>310</v>
      </c>
      <c r="E84">
        <v>42654</v>
      </c>
      <c r="F84">
        <v>4.9800000000000004</v>
      </c>
      <c r="G84">
        <v>9566</v>
      </c>
      <c r="H84">
        <f t="shared" si="2"/>
        <v>1002</v>
      </c>
    </row>
    <row r="85" spans="1:8" x14ac:dyDescent="0.3">
      <c r="A85" s="3">
        <v>45453</v>
      </c>
      <c r="B85" t="s">
        <v>10</v>
      </c>
      <c r="C85">
        <v>1197</v>
      </c>
      <c r="D85">
        <v>203</v>
      </c>
      <c r="E85">
        <v>413878</v>
      </c>
      <c r="F85">
        <v>3.16</v>
      </c>
      <c r="G85">
        <v>21205</v>
      </c>
      <c r="H85">
        <f t="shared" si="2"/>
        <v>994</v>
      </c>
    </row>
    <row r="86" spans="1:8" x14ac:dyDescent="0.3">
      <c r="A86" s="3">
        <v>45594</v>
      </c>
      <c r="B86" t="s">
        <v>7</v>
      </c>
      <c r="C86">
        <v>1138</v>
      </c>
      <c r="D86">
        <v>173</v>
      </c>
      <c r="E86">
        <v>453243</v>
      </c>
      <c r="F86">
        <v>2.86</v>
      </c>
      <c r="G86">
        <v>44097</v>
      </c>
      <c r="H86">
        <f t="shared" si="2"/>
        <v>965</v>
      </c>
    </row>
    <row r="87" spans="1:8" x14ac:dyDescent="0.3">
      <c r="A87" s="3">
        <v>45475</v>
      </c>
      <c r="B87" t="s">
        <v>8</v>
      </c>
      <c r="C87">
        <v>1391</v>
      </c>
      <c r="D87">
        <v>430</v>
      </c>
      <c r="E87">
        <v>295032</v>
      </c>
      <c r="F87">
        <v>7.86</v>
      </c>
      <c r="G87">
        <v>26067</v>
      </c>
      <c r="H87">
        <f t="shared" si="2"/>
        <v>961</v>
      </c>
    </row>
    <row r="88" spans="1:8" x14ac:dyDescent="0.3">
      <c r="A88" s="3">
        <v>45636</v>
      </c>
      <c r="B88" t="s">
        <v>9</v>
      </c>
      <c r="C88">
        <v>1222</v>
      </c>
      <c r="D88">
        <v>274</v>
      </c>
      <c r="E88">
        <v>487289</v>
      </c>
      <c r="F88">
        <v>3.16</v>
      </c>
      <c r="G88">
        <v>32500</v>
      </c>
      <c r="H88">
        <f t="shared" si="2"/>
        <v>948</v>
      </c>
    </row>
    <row r="89" spans="1:8" x14ac:dyDescent="0.3">
      <c r="A89" s="3">
        <v>45591</v>
      </c>
      <c r="B89" t="s">
        <v>8</v>
      </c>
      <c r="C89">
        <v>1294</v>
      </c>
      <c r="D89">
        <v>382</v>
      </c>
      <c r="E89">
        <v>309914</v>
      </c>
      <c r="F89">
        <v>8.0299999999999994</v>
      </c>
      <c r="G89">
        <v>23489</v>
      </c>
      <c r="H89">
        <f t="shared" si="2"/>
        <v>912</v>
      </c>
    </row>
    <row r="90" spans="1:8" x14ac:dyDescent="0.3">
      <c r="A90" s="3">
        <v>45564</v>
      </c>
      <c r="B90" t="s">
        <v>9</v>
      </c>
      <c r="C90">
        <v>1137</v>
      </c>
      <c r="D90">
        <v>226</v>
      </c>
      <c r="E90">
        <v>81119</v>
      </c>
      <c r="F90">
        <v>7.74</v>
      </c>
      <c r="G90">
        <v>35359</v>
      </c>
      <c r="H90">
        <f t="shared" si="2"/>
        <v>911</v>
      </c>
    </row>
    <row r="91" spans="1:8" x14ac:dyDescent="0.3">
      <c r="A91" s="3">
        <v>45607</v>
      </c>
      <c r="B91" t="s">
        <v>8</v>
      </c>
      <c r="C91">
        <v>1098</v>
      </c>
      <c r="D91">
        <v>190</v>
      </c>
      <c r="E91">
        <v>340842</v>
      </c>
      <c r="F91">
        <v>9.39</v>
      </c>
      <c r="G91">
        <v>21539</v>
      </c>
      <c r="H91">
        <f t="shared" si="2"/>
        <v>908</v>
      </c>
    </row>
    <row r="92" spans="1:8" x14ac:dyDescent="0.3">
      <c r="A92" s="3">
        <v>45570</v>
      </c>
      <c r="B92" t="s">
        <v>7</v>
      </c>
      <c r="C92">
        <v>1013</v>
      </c>
      <c r="D92">
        <v>110</v>
      </c>
      <c r="E92">
        <v>466382</v>
      </c>
      <c r="F92">
        <v>5.3</v>
      </c>
      <c r="G92">
        <v>37132</v>
      </c>
      <c r="H92">
        <f t="shared" si="2"/>
        <v>903</v>
      </c>
    </row>
    <row r="93" spans="1:8" x14ac:dyDescent="0.3">
      <c r="A93" s="3">
        <v>45538</v>
      </c>
      <c r="B93" t="s">
        <v>7</v>
      </c>
      <c r="C93">
        <v>1075</v>
      </c>
      <c r="D93">
        <v>173</v>
      </c>
      <c r="E93">
        <v>51395</v>
      </c>
      <c r="F93">
        <v>4.66</v>
      </c>
      <c r="G93">
        <v>47812</v>
      </c>
      <c r="H93">
        <f t="shared" si="2"/>
        <v>902</v>
      </c>
    </row>
    <row r="94" spans="1:8" x14ac:dyDescent="0.3">
      <c r="A94" s="3">
        <v>45577</v>
      </c>
      <c r="B94" t="s">
        <v>10</v>
      </c>
      <c r="C94">
        <v>1331</v>
      </c>
      <c r="D94">
        <v>430</v>
      </c>
      <c r="E94">
        <v>14437</v>
      </c>
      <c r="F94">
        <v>3.29</v>
      </c>
      <c r="G94">
        <v>40868</v>
      </c>
      <c r="H94">
        <f t="shared" si="2"/>
        <v>901</v>
      </c>
    </row>
    <row r="95" spans="1:8" x14ac:dyDescent="0.3">
      <c r="A95" s="3">
        <v>45604</v>
      </c>
      <c r="B95" t="s">
        <v>9</v>
      </c>
      <c r="C95">
        <v>946</v>
      </c>
      <c r="D95">
        <v>47</v>
      </c>
      <c r="E95">
        <v>466575</v>
      </c>
      <c r="F95">
        <v>8.33</v>
      </c>
      <c r="G95">
        <v>10002</v>
      </c>
      <c r="H95">
        <f t="shared" si="2"/>
        <v>899</v>
      </c>
    </row>
    <row r="96" spans="1:8" x14ac:dyDescent="0.3">
      <c r="A96" s="3">
        <v>45583</v>
      </c>
      <c r="B96" t="s">
        <v>8</v>
      </c>
      <c r="C96">
        <v>1249</v>
      </c>
      <c r="D96">
        <v>351</v>
      </c>
      <c r="E96">
        <v>321307</v>
      </c>
      <c r="F96">
        <v>6.37</v>
      </c>
      <c r="G96">
        <v>20560</v>
      </c>
      <c r="H96">
        <f t="shared" si="2"/>
        <v>898</v>
      </c>
    </row>
    <row r="97" spans="1:8" x14ac:dyDescent="0.3">
      <c r="A97" s="3">
        <v>45454</v>
      </c>
      <c r="B97" t="s">
        <v>7</v>
      </c>
      <c r="C97">
        <v>1048</v>
      </c>
      <c r="D97">
        <v>155</v>
      </c>
      <c r="E97">
        <v>456946</v>
      </c>
      <c r="F97">
        <v>2.46</v>
      </c>
      <c r="G97">
        <v>11329</v>
      </c>
      <c r="H97">
        <f t="shared" si="2"/>
        <v>893</v>
      </c>
    </row>
    <row r="98" spans="1:8" x14ac:dyDescent="0.3">
      <c r="A98" s="3">
        <v>45580</v>
      </c>
      <c r="B98" t="s">
        <v>9</v>
      </c>
      <c r="C98">
        <v>1040</v>
      </c>
      <c r="D98">
        <v>149</v>
      </c>
      <c r="E98">
        <v>124404</v>
      </c>
      <c r="F98">
        <v>5.23</v>
      </c>
      <c r="G98">
        <v>45380</v>
      </c>
      <c r="H98">
        <f t="shared" ref="H98:H129" si="3">C98-D98</f>
        <v>891</v>
      </c>
    </row>
    <row r="99" spans="1:8" x14ac:dyDescent="0.3">
      <c r="A99" s="3">
        <v>45549</v>
      </c>
      <c r="B99" t="s">
        <v>10</v>
      </c>
      <c r="C99">
        <v>1293</v>
      </c>
      <c r="D99">
        <v>408</v>
      </c>
      <c r="E99">
        <v>62535</v>
      </c>
      <c r="F99">
        <v>8.9</v>
      </c>
      <c r="G99">
        <v>37876</v>
      </c>
      <c r="H99">
        <f t="shared" si="3"/>
        <v>885</v>
      </c>
    </row>
    <row r="100" spans="1:8" x14ac:dyDescent="0.3">
      <c r="A100" s="3">
        <v>45561</v>
      </c>
      <c r="B100" t="s">
        <v>10</v>
      </c>
      <c r="C100">
        <v>1004</v>
      </c>
      <c r="D100">
        <v>128</v>
      </c>
      <c r="E100">
        <v>488901</v>
      </c>
      <c r="F100">
        <v>8.09</v>
      </c>
      <c r="G100">
        <v>49558</v>
      </c>
      <c r="H100">
        <f t="shared" si="3"/>
        <v>876</v>
      </c>
    </row>
    <row r="101" spans="1:8" x14ac:dyDescent="0.3">
      <c r="A101" s="3">
        <v>45641</v>
      </c>
      <c r="B101" t="s">
        <v>10</v>
      </c>
      <c r="C101">
        <v>1035</v>
      </c>
      <c r="D101">
        <v>171</v>
      </c>
      <c r="E101">
        <v>148477</v>
      </c>
      <c r="F101">
        <v>5.21</v>
      </c>
      <c r="G101">
        <v>7541</v>
      </c>
      <c r="H101">
        <f t="shared" si="3"/>
        <v>864</v>
      </c>
    </row>
    <row r="102" spans="1:8" x14ac:dyDescent="0.3">
      <c r="A102" s="3">
        <v>45612</v>
      </c>
      <c r="B102" t="s">
        <v>9</v>
      </c>
      <c r="C102">
        <v>1077</v>
      </c>
      <c r="D102">
        <v>216</v>
      </c>
      <c r="E102">
        <v>12447</v>
      </c>
      <c r="F102">
        <v>1.8</v>
      </c>
      <c r="G102">
        <v>14068</v>
      </c>
      <c r="H102">
        <f t="shared" si="3"/>
        <v>861</v>
      </c>
    </row>
    <row r="103" spans="1:8" x14ac:dyDescent="0.3">
      <c r="A103" s="3">
        <v>45573</v>
      </c>
      <c r="B103" t="s">
        <v>10</v>
      </c>
      <c r="C103">
        <v>891</v>
      </c>
      <c r="D103">
        <v>45</v>
      </c>
      <c r="E103">
        <v>95410</v>
      </c>
      <c r="F103">
        <v>8.33</v>
      </c>
      <c r="G103">
        <v>15045</v>
      </c>
      <c r="H103">
        <f t="shared" si="3"/>
        <v>846</v>
      </c>
    </row>
    <row r="104" spans="1:8" x14ac:dyDescent="0.3">
      <c r="A104" s="3">
        <v>45460</v>
      </c>
      <c r="B104" t="s">
        <v>9</v>
      </c>
      <c r="C104">
        <v>1238</v>
      </c>
      <c r="D104">
        <v>403</v>
      </c>
      <c r="E104">
        <v>298421</v>
      </c>
      <c r="F104">
        <v>3.5</v>
      </c>
      <c r="G104">
        <v>31280</v>
      </c>
      <c r="H104">
        <f t="shared" si="3"/>
        <v>835</v>
      </c>
    </row>
    <row r="105" spans="1:8" x14ac:dyDescent="0.3">
      <c r="A105" s="3">
        <v>45632</v>
      </c>
      <c r="B105" t="s">
        <v>9</v>
      </c>
      <c r="C105">
        <v>1147</v>
      </c>
      <c r="D105">
        <v>388</v>
      </c>
      <c r="E105">
        <v>333851</v>
      </c>
      <c r="F105">
        <v>2.44</v>
      </c>
      <c r="G105">
        <v>8471</v>
      </c>
      <c r="H105">
        <f t="shared" si="3"/>
        <v>759</v>
      </c>
    </row>
    <row r="106" spans="1:8" x14ac:dyDescent="0.3">
      <c r="A106" s="3">
        <v>45587</v>
      </c>
      <c r="B106" t="s">
        <v>8</v>
      </c>
      <c r="C106">
        <v>1159</v>
      </c>
      <c r="D106">
        <v>411</v>
      </c>
      <c r="E106">
        <v>135987</v>
      </c>
      <c r="F106">
        <v>8.6999999999999993</v>
      </c>
      <c r="G106">
        <v>40323</v>
      </c>
      <c r="H106">
        <f t="shared" si="3"/>
        <v>748</v>
      </c>
    </row>
    <row r="107" spans="1:8" x14ac:dyDescent="0.3">
      <c r="A107" s="3">
        <v>45563</v>
      </c>
      <c r="B107" t="s">
        <v>8</v>
      </c>
      <c r="C107">
        <v>1155</v>
      </c>
      <c r="D107">
        <v>425</v>
      </c>
      <c r="E107">
        <v>93347</v>
      </c>
      <c r="F107">
        <v>2.02</v>
      </c>
      <c r="G107">
        <v>47502</v>
      </c>
      <c r="H107">
        <f t="shared" si="3"/>
        <v>730</v>
      </c>
    </row>
    <row r="108" spans="1:8" x14ac:dyDescent="0.3">
      <c r="A108" s="3">
        <v>45581</v>
      </c>
      <c r="B108" t="s">
        <v>10</v>
      </c>
      <c r="C108">
        <v>1166</v>
      </c>
      <c r="D108">
        <v>442</v>
      </c>
      <c r="E108">
        <v>336949</v>
      </c>
      <c r="F108">
        <v>4.68</v>
      </c>
      <c r="G108">
        <v>7705</v>
      </c>
      <c r="H108">
        <f t="shared" si="3"/>
        <v>724</v>
      </c>
    </row>
    <row r="109" spans="1:8" x14ac:dyDescent="0.3">
      <c r="A109" s="3">
        <v>45600</v>
      </c>
      <c r="B109" t="s">
        <v>9</v>
      </c>
      <c r="C109">
        <v>861</v>
      </c>
      <c r="D109">
        <v>153</v>
      </c>
      <c r="E109">
        <v>317007</v>
      </c>
      <c r="F109">
        <v>3.85</v>
      </c>
      <c r="G109">
        <v>8718</v>
      </c>
      <c r="H109">
        <f t="shared" si="3"/>
        <v>708</v>
      </c>
    </row>
    <row r="110" spans="1:8" x14ac:dyDescent="0.3">
      <c r="A110" s="3">
        <v>45562</v>
      </c>
      <c r="B110" t="s">
        <v>7</v>
      </c>
      <c r="C110">
        <v>1092</v>
      </c>
      <c r="D110">
        <v>408</v>
      </c>
      <c r="E110">
        <v>280795</v>
      </c>
      <c r="F110">
        <v>8.44</v>
      </c>
      <c r="G110">
        <v>4683</v>
      </c>
      <c r="H110">
        <f t="shared" si="3"/>
        <v>684</v>
      </c>
    </row>
    <row r="111" spans="1:8" x14ac:dyDescent="0.3">
      <c r="A111" s="3">
        <v>45610</v>
      </c>
      <c r="B111" t="s">
        <v>7</v>
      </c>
      <c r="C111">
        <v>1102</v>
      </c>
      <c r="D111">
        <v>422</v>
      </c>
      <c r="E111">
        <v>410330</v>
      </c>
      <c r="F111">
        <v>7.74</v>
      </c>
      <c r="G111">
        <v>9480</v>
      </c>
      <c r="H111">
        <f t="shared" si="3"/>
        <v>680</v>
      </c>
    </row>
    <row r="112" spans="1:8" x14ac:dyDescent="0.3">
      <c r="A112" s="3">
        <v>45510</v>
      </c>
      <c r="B112" t="s">
        <v>7</v>
      </c>
      <c r="C112">
        <v>817</v>
      </c>
      <c r="D112">
        <v>151</v>
      </c>
      <c r="E112">
        <v>422625</v>
      </c>
      <c r="F112">
        <v>2.36</v>
      </c>
      <c r="G112">
        <v>1083</v>
      </c>
      <c r="H112">
        <f t="shared" si="3"/>
        <v>666</v>
      </c>
    </row>
    <row r="113" spans="1:8" x14ac:dyDescent="0.3">
      <c r="A113" s="3">
        <v>45618</v>
      </c>
      <c r="B113" t="s">
        <v>7</v>
      </c>
      <c r="C113">
        <v>1033</v>
      </c>
      <c r="D113">
        <v>392</v>
      </c>
      <c r="E113">
        <v>282780</v>
      </c>
      <c r="F113">
        <v>6.27</v>
      </c>
      <c r="G113">
        <v>23140</v>
      </c>
      <c r="H113">
        <f t="shared" si="3"/>
        <v>641</v>
      </c>
    </row>
    <row r="114" spans="1:8" x14ac:dyDescent="0.3">
      <c r="A114" s="3">
        <v>45637</v>
      </c>
      <c r="B114" t="s">
        <v>10</v>
      </c>
      <c r="C114">
        <v>777</v>
      </c>
      <c r="D114">
        <v>140</v>
      </c>
      <c r="E114">
        <v>11435</v>
      </c>
      <c r="F114">
        <v>1.6</v>
      </c>
      <c r="G114">
        <v>6832</v>
      </c>
      <c r="H114">
        <f t="shared" si="3"/>
        <v>637</v>
      </c>
    </row>
    <row r="115" spans="1:8" x14ac:dyDescent="0.3">
      <c r="A115" s="3">
        <v>45528</v>
      </c>
      <c r="B115" t="s">
        <v>9</v>
      </c>
      <c r="C115">
        <v>697</v>
      </c>
      <c r="D115">
        <v>61</v>
      </c>
      <c r="E115">
        <v>258287</v>
      </c>
      <c r="F115">
        <v>8.25</v>
      </c>
      <c r="G115">
        <v>21208</v>
      </c>
      <c r="H115">
        <f t="shared" si="3"/>
        <v>636</v>
      </c>
    </row>
    <row r="116" spans="1:8" x14ac:dyDescent="0.3">
      <c r="A116" s="3">
        <v>45458</v>
      </c>
      <c r="B116" t="s">
        <v>7</v>
      </c>
      <c r="C116">
        <v>911</v>
      </c>
      <c r="D116">
        <v>282</v>
      </c>
      <c r="E116">
        <v>35664</v>
      </c>
      <c r="F116">
        <v>6.92</v>
      </c>
      <c r="G116">
        <v>18050</v>
      </c>
      <c r="H116">
        <f t="shared" si="3"/>
        <v>629</v>
      </c>
    </row>
    <row r="117" spans="1:8" x14ac:dyDescent="0.3">
      <c r="A117" s="3">
        <v>45571</v>
      </c>
      <c r="B117" t="s">
        <v>8</v>
      </c>
      <c r="C117">
        <v>816</v>
      </c>
      <c r="D117">
        <v>196</v>
      </c>
      <c r="E117">
        <v>95728</v>
      </c>
      <c r="F117">
        <v>8.1999999999999993</v>
      </c>
      <c r="G117">
        <v>17951</v>
      </c>
      <c r="H117">
        <f t="shared" si="3"/>
        <v>620</v>
      </c>
    </row>
    <row r="118" spans="1:8" x14ac:dyDescent="0.3">
      <c r="A118" s="3">
        <v>45630</v>
      </c>
      <c r="B118" t="s">
        <v>7</v>
      </c>
      <c r="C118">
        <v>961</v>
      </c>
      <c r="D118">
        <v>358</v>
      </c>
      <c r="E118">
        <v>62942</v>
      </c>
      <c r="F118">
        <v>6.8</v>
      </c>
      <c r="G118">
        <v>18693</v>
      </c>
      <c r="H118">
        <f t="shared" si="3"/>
        <v>603</v>
      </c>
    </row>
    <row r="119" spans="1:8" x14ac:dyDescent="0.3">
      <c r="A119" s="3">
        <v>45516</v>
      </c>
      <c r="B119" t="s">
        <v>9</v>
      </c>
      <c r="C119">
        <v>752</v>
      </c>
      <c r="D119">
        <v>153</v>
      </c>
      <c r="E119">
        <v>64906</v>
      </c>
      <c r="F119">
        <v>2.09</v>
      </c>
      <c r="G119">
        <v>12148</v>
      </c>
      <c r="H119">
        <f t="shared" si="3"/>
        <v>599</v>
      </c>
    </row>
    <row r="120" spans="1:8" x14ac:dyDescent="0.3">
      <c r="A120" s="3">
        <v>45530</v>
      </c>
      <c r="B120" t="s">
        <v>7</v>
      </c>
      <c r="C120">
        <v>642</v>
      </c>
      <c r="D120">
        <v>66</v>
      </c>
      <c r="E120">
        <v>346522</v>
      </c>
      <c r="F120">
        <v>5.85</v>
      </c>
      <c r="G120">
        <v>13116</v>
      </c>
      <c r="H120">
        <f t="shared" si="3"/>
        <v>576</v>
      </c>
    </row>
    <row r="121" spans="1:8" x14ac:dyDescent="0.3">
      <c r="A121" s="3">
        <v>45557</v>
      </c>
      <c r="B121" t="s">
        <v>10</v>
      </c>
      <c r="C121">
        <v>736</v>
      </c>
      <c r="D121">
        <v>163</v>
      </c>
      <c r="E121">
        <v>451894</v>
      </c>
      <c r="F121">
        <v>5.43</v>
      </c>
      <c r="G121">
        <v>46625</v>
      </c>
      <c r="H121">
        <f t="shared" si="3"/>
        <v>573</v>
      </c>
    </row>
    <row r="122" spans="1:8" x14ac:dyDescent="0.3">
      <c r="A122" s="3">
        <v>45588</v>
      </c>
      <c r="B122" t="s">
        <v>9</v>
      </c>
      <c r="C122">
        <v>927</v>
      </c>
      <c r="D122">
        <v>358</v>
      </c>
      <c r="E122">
        <v>177554</v>
      </c>
      <c r="F122">
        <v>6.95</v>
      </c>
      <c r="G122">
        <v>48270</v>
      </c>
      <c r="H122">
        <f t="shared" si="3"/>
        <v>569</v>
      </c>
    </row>
    <row r="123" spans="1:8" x14ac:dyDescent="0.3">
      <c r="A123" s="3">
        <v>45468</v>
      </c>
      <c r="B123" t="s">
        <v>9</v>
      </c>
      <c r="C123">
        <v>987</v>
      </c>
      <c r="D123">
        <v>440</v>
      </c>
      <c r="E123">
        <v>389810</v>
      </c>
      <c r="F123">
        <v>4.66</v>
      </c>
      <c r="G123">
        <v>2932</v>
      </c>
      <c r="H123">
        <f t="shared" si="3"/>
        <v>547</v>
      </c>
    </row>
    <row r="124" spans="1:8" x14ac:dyDescent="0.3">
      <c r="A124" s="3">
        <v>45478</v>
      </c>
      <c r="B124" t="s">
        <v>7</v>
      </c>
      <c r="C124">
        <v>653</v>
      </c>
      <c r="D124">
        <v>112</v>
      </c>
      <c r="E124">
        <v>23664</v>
      </c>
      <c r="F124">
        <v>4.05</v>
      </c>
      <c r="G124">
        <v>15353</v>
      </c>
      <c r="H124">
        <f t="shared" si="3"/>
        <v>541</v>
      </c>
    </row>
    <row r="125" spans="1:8" x14ac:dyDescent="0.3">
      <c r="A125" s="3">
        <v>45535</v>
      </c>
      <c r="B125" t="s">
        <v>8</v>
      </c>
      <c r="C125">
        <v>947</v>
      </c>
      <c r="D125">
        <v>407</v>
      </c>
      <c r="E125">
        <v>319186</v>
      </c>
      <c r="F125">
        <v>3.32</v>
      </c>
      <c r="G125">
        <v>4996</v>
      </c>
      <c r="H125">
        <f t="shared" si="3"/>
        <v>540</v>
      </c>
    </row>
    <row r="126" spans="1:8" x14ac:dyDescent="0.3">
      <c r="A126" s="3">
        <v>45450</v>
      </c>
      <c r="B126" t="s">
        <v>7</v>
      </c>
      <c r="C126">
        <v>656</v>
      </c>
      <c r="D126">
        <v>139</v>
      </c>
      <c r="E126">
        <v>49157</v>
      </c>
      <c r="F126">
        <v>9.0500000000000007</v>
      </c>
      <c r="G126">
        <v>9920</v>
      </c>
      <c r="H126">
        <f t="shared" si="3"/>
        <v>517</v>
      </c>
    </row>
    <row r="127" spans="1:8" x14ac:dyDescent="0.3">
      <c r="A127" s="3">
        <v>45469</v>
      </c>
      <c r="B127" t="s">
        <v>10</v>
      </c>
      <c r="C127">
        <v>883</v>
      </c>
      <c r="D127">
        <v>369</v>
      </c>
      <c r="E127">
        <v>233694</v>
      </c>
      <c r="F127">
        <v>2.88</v>
      </c>
      <c r="G127">
        <v>15071</v>
      </c>
      <c r="H127">
        <f t="shared" si="3"/>
        <v>514</v>
      </c>
    </row>
    <row r="128" spans="1:8" x14ac:dyDescent="0.3">
      <c r="A128" s="3">
        <v>45619</v>
      </c>
      <c r="B128" t="s">
        <v>8</v>
      </c>
      <c r="C128">
        <v>988</v>
      </c>
      <c r="D128">
        <v>474</v>
      </c>
      <c r="E128">
        <v>370070</v>
      </c>
      <c r="F128">
        <v>9.4600000000000009</v>
      </c>
      <c r="G128">
        <v>23461</v>
      </c>
      <c r="H128">
        <f t="shared" si="3"/>
        <v>514</v>
      </c>
    </row>
    <row r="129" spans="1:8" x14ac:dyDescent="0.3">
      <c r="A129" s="3">
        <v>45481</v>
      </c>
      <c r="B129" t="s">
        <v>10</v>
      </c>
      <c r="C129">
        <v>576</v>
      </c>
      <c r="D129">
        <v>101</v>
      </c>
      <c r="E129">
        <v>62499</v>
      </c>
      <c r="F129">
        <v>3.48</v>
      </c>
      <c r="G129">
        <v>16804</v>
      </c>
      <c r="H129">
        <f t="shared" si="3"/>
        <v>475</v>
      </c>
    </row>
    <row r="130" spans="1:8" x14ac:dyDescent="0.3">
      <c r="A130" s="3">
        <v>45615</v>
      </c>
      <c r="B130" t="s">
        <v>8</v>
      </c>
      <c r="C130">
        <v>609</v>
      </c>
      <c r="D130">
        <v>135</v>
      </c>
      <c r="E130">
        <v>373606</v>
      </c>
      <c r="F130">
        <v>8.52</v>
      </c>
      <c r="G130">
        <v>21453</v>
      </c>
      <c r="H130">
        <f t="shared" ref="H130:H161" si="4">C130-D130</f>
        <v>474</v>
      </c>
    </row>
    <row r="131" spans="1:8" x14ac:dyDescent="0.3">
      <c r="A131" s="3">
        <v>45614</v>
      </c>
      <c r="B131" t="s">
        <v>7</v>
      </c>
      <c r="C131">
        <v>490</v>
      </c>
      <c r="D131">
        <v>29</v>
      </c>
      <c r="E131">
        <v>364810</v>
      </c>
      <c r="F131">
        <v>1.53</v>
      </c>
      <c r="G131">
        <v>49077</v>
      </c>
      <c r="H131">
        <f t="shared" si="4"/>
        <v>461</v>
      </c>
    </row>
    <row r="132" spans="1:8" x14ac:dyDescent="0.3">
      <c r="A132" s="3">
        <v>45635</v>
      </c>
      <c r="B132" t="s">
        <v>8</v>
      </c>
      <c r="C132">
        <v>833</v>
      </c>
      <c r="D132">
        <v>380</v>
      </c>
      <c r="E132">
        <v>224830</v>
      </c>
      <c r="F132">
        <v>3.86</v>
      </c>
      <c r="G132">
        <v>3582</v>
      </c>
      <c r="H132">
        <f t="shared" si="4"/>
        <v>453</v>
      </c>
    </row>
    <row r="133" spans="1:8" x14ac:dyDescent="0.3">
      <c r="A133" s="3">
        <v>45544</v>
      </c>
      <c r="B133" t="s">
        <v>9</v>
      </c>
      <c r="C133">
        <v>628</v>
      </c>
      <c r="D133">
        <v>183</v>
      </c>
      <c r="E133">
        <v>487523</v>
      </c>
      <c r="F133">
        <v>7.32</v>
      </c>
      <c r="G133">
        <v>5391</v>
      </c>
      <c r="H133">
        <f t="shared" si="4"/>
        <v>445</v>
      </c>
    </row>
    <row r="134" spans="1:8" x14ac:dyDescent="0.3">
      <c r="A134" s="3">
        <v>45527</v>
      </c>
      <c r="B134" t="s">
        <v>8</v>
      </c>
      <c r="C134">
        <v>508</v>
      </c>
      <c r="D134">
        <v>69</v>
      </c>
      <c r="E134">
        <v>23492</v>
      </c>
      <c r="F134">
        <v>3.16</v>
      </c>
      <c r="G134">
        <v>42824</v>
      </c>
      <c r="H134">
        <f t="shared" si="4"/>
        <v>439</v>
      </c>
    </row>
    <row r="135" spans="1:8" x14ac:dyDescent="0.3">
      <c r="A135" s="3">
        <v>45472</v>
      </c>
      <c r="B135" t="s">
        <v>9</v>
      </c>
      <c r="C135">
        <v>704</v>
      </c>
      <c r="D135">
        <v>275</v>
      </c>
      <c r="E135">
        <v>226002</v>
      </c>
      <c r="F135">
        <v>8.56</v>
      </c>
      <c r="G135">
        <v>32393</v>
      </c>
      <c r="H135">
        <f t="shared" si="4"/>
        <v>429</v>
      </c>
    </row>
    <row r="136" spans="1:8" x14ac:dyDescent="0.3">
      <c r="A136" s="3">
        <v>45579</v>
      </c>
      <c r="B136" t="s">
        <v>8</v>
      </c>
      <c r="C136">
        <v>663</v>
      </c>
      <c r="D136">
        <v>236</v>
      </c>
      <c r="E136">
        <v>479490</v>
      </c>
      <c r="F136">
        <v>4.51</v>
      </c>
      <c r="G136">
        <v>23853</v>
      </c>
      <c r="H136">
        <f t="shared" si="4"/>
        <v>427</v>
      </c>
    </row>
    <row r="137" spans="1:8" x14ac:dyDescent="0.3">
      <c r="A137" s="3">
        <v>45448</v>
      </c>
      <c r="B137" t="s">
        <v>9</v>
      </c>
      <c r="C137">
        <v>584</v>
      </c>
      <c r="D137">
        <v>169</v>
      </c>
      <c r="E137">
        <v>146834</v>
      </c>
      <c r="F137">
        <v>8.31</v>
      </c>
      <c r="G137">
        <v>26752</v>
      </c>
      <c r="H137">
        <f t="shared" si="4"/>
        <v>415</v>
      </c>
    </row>
    <row r="138" spans="1:8" x14ac:dyDescent="0.3">
      <c r="A138" s="3">
        <v>45643</v>
      </c>
      <c r="B138" t="s">
        <v>8</v>
      </c>
      <c r="C138">
        <v>837</v>
      </c>
      <c r="D138">
        <v>430</v>
      </c>
      <c r="E138">
        <v>364820</v>
      </c>
      <c r="F138">
        <v>4</v>
      </c>
      <c r="G138">
        <v>49400</v>
      </c>
      <c r="H138">
        <f t="shared" si="4"/>
        <v>407</v>
      </c>
    </row>
    <row r="139" spans="1:8" x14ac:dyDescent="0.3">
      <c r="A139" s="3">
        <v>45617</v>
      </c>
      <c r="B139" t="s">
        <v>10</v>
      </c>
      <c r="C139">
        <v>442</v>
      </c>
      <c r="D139">
        <v>53</v>
      </c>
      <c r="E139">
        <v>441931</v>
      </c>
      <c r="F139">
        <v>1.87</v>
      </c>
      <c r="G139">
        <v>20059</v>
      </c>
      <c r="H139">
        <f t="shared" si="4"/>
        <v>389</v>
      </c>
    </row>
    <row r="140" spans="1:8" x14ac:dyDescent="0.3">
      <c r="A140" s="3">
        <v>45531</v>
      </c>
      <c r="B140" t="s">
        <v>8</v>
      </c>
      <c r="C140">
        <v>859</v>
      </c>
      <c r="D140">
        <v>473</v>
      </c>
      <c r="E140">
        <v>209987</v>
      </c>
      <c r="F140">
        <v>4.46</v>
      </c>
      <c r="G140">
        <v>30214</v>
      </c>
      <c r="H140">
        <f t="shared" si="4"/>
        <v>386</v>
      </c>
    </row>
    <row r="141" spans="1:8" x14ac:dyDescent="0.3">
      <c r="A141" s="3">
        <v>45506</v>
      </c>
      <c r="B141" t="s">
        <v>7</v>
      </c>
      <c r="C141">
        <v>778</v>
      </c>
      <c r="D141">
        <v>401</v>
      </c>
      <c r="E141">
        <v>50793</v>
      </c>
      <c r="F141">
        <v>3.4</v>
      </c>
      <c r="G141">
        <v>21939</v>
      </c>
      <c r="H141">
        <f t="shared" si="4"/>
        <v>377</v>
      </c>
    </row>
    <row r="142" spans="1:8" x14ac:dyDescent="0.3">
      <c r="A142" s="3">
        <v>45525</v>
      </c>
      <c r="B142" t="s">
        <v>10</v>
      </c>
      <c r="C142">
        <v>414</v>
      </c>
      <c r="D142">
        <v>47</v>
      </c>
      <c r="E142">
        <v>199178</v>
      </c>
      <c r="F142">
        <v>1.53</v>
      </c>
      <c r="G142">
        <v>6742</v>
      </c>
      <c r="H142">
        <f t="shared" si="4"/>
        <v>367</v>
      </c>
    </row>
    <row r="143" spans="1:8" x14ac:dyDescent="0.3">
      <c r="A143" s="3">
        <v>45482</v>
      </c>
      <c r="B143" t="s">
        <v>7</v>
      </c>
      <c r="C143">
        <v>645</v>
      </c>
      <c r="D143">
        <v>293</v>
      </c>
      <c r="E143">
        <v>437968</v>
      </c>
      <c r="F143">
        <v>7.83</v>
      </c>
      <c r="G143">
        <v>49303</v>
      </c>
      <c r="H143">
        <f t="shared" si="4"/>
        <v>352</v>
      </c>
    </row>
    <row r="144" spans="1:8" x14ac:dyDescent="0.3">
      <c r="A144" s="3">
        <v>45541</v>
      </c>
      <c r="B144" t="s">
        <v>10</v>
      </c>
      <c r="C144">
        <v>454</v>
      </c>
      <c r="D144">
        <v>105</v>
      </c>
      <c r="E144">
        <v>121091</v>
      </c>
      <c r="F144">
        <v>7.97</v>
      </c>
      <c r="G144">
        <v>9269</v>
      </c>
      <c r="H144">
        <f t="shared" si="4"/>
        <v>349</v>
      </c>
    </row>
    <row r="145" spans="1:8" x14ac:dyDescent="0.3">
      <c r="A145" s="3">
        <v>45639</v>
      </c>
      <c r="B145" t="s">
        <v>8</v>
      </c>
      <c r="C145">
        <v>405</v>
      </c>
      <c r="D145">
        <v>66</v>
      </c>
      <c r="E145">
        <v>418696</v>
      </c>
      <c r="F145">
        <v>5.59</v>
      </c>
      <c r="G145">
        <v>48419</v>
      </c>
      <c r="H145">
        <f t="shared" si="4"/>
        <v>339</v>
      </c>
    </row>
    <row r="146" spans="1:8" x14ac:dyDescent="0.3">
      <c r="A146" s="3">
        <v>45457</v>
      </c>
      <c r="B146" t="s">
        <v>10</v>
      </c>
      <c r="C146">
        <v>403</v>
      </c>
      <c r="D146">
        <v>66</v>
      </c>
      <c r="E146">
        <v>382851</v>
      </c>
      <c r="F146">
        <v>3.49</v>
      </c>
      <c r="G146">
        <v>24313</v>
      </c>
      <c r="H146">
        <f t="shared" si="4"/>
        <v>337</v>
      </c>
    </row>
    <row r="147" spans="1:8" x14ac:dyDescent="0.3">
      <c r="A147" s="3">
        <v>45501</v>
      </c>
      <c r="B147" t="s">
        <v>10</v>
      </c>
      <c r="C147">
        <v>728</v>
      </c>
      <c r="D147">
        <v>395</v>
      </c>
      <c r="E147">
        <v>370971</v>
      </c>
      <c r="F147">
        <v>3.86</v>
      </c>
      <c r="G147">
        <v>12646</v>
      </c>
      <c r="H147">
        <f t="shared" si="4"/>
        <v>333</v>
      </c>
    </row>
    <row r="148" spans="1:8" x14ac:dyDescent="0.3">
      <c r="A148" s="3">
        <v>45484</v>
      </c>
      <c r="B148" t="s">
        <v>9</v>
      </c>
      <c r="C148">
        <v>826</v>
      </c>
      <c r="D148">
        <v>498</v>
      </c>
      <c r="E148">
        <v>449994</v>
      </c>
      <c r="F148">
        <v>9.43</v>
      </c>
      <c r="G148">
        <v>12384</v>
      </c>
      <c r="H148">
        <f t="shared" si="4"/>
        <v>328</v>
      </c>
    </row>
    <row r="149" spans="1:8" x14ac:dyDescent="0.3">
      <c r="A149" s="3">
        <v>45485</v>
      </c>
      <c r="B149" t="s">
        <v>10</v>
      </c>
      <c r="C149">
        <v>460</v>
      </c>
      <c r="D149">
        <v>141</v>
      </c>
      <c r="E149">
        <v>320650</v>
      </c>
      <c r="F149">
        <v>4.04</v>
      </c>
      <c r="G149">
        <v>49372</v>
      </c>
      <c r="H149">
        <f t="shared" si="4"/>
        <v>319</v>
      </c>
    </row>
    <row r="150" spans="1:8" x14ac:dyDescent="0.3">
      <c r="A150" s="3">
        <v>45477</v>
      </c>
      <c r="B150" t="s">
        <v>10</v>
      </c>
      <c r="C150">
        <v>804</v>
      </c>
      <c r="D150">
        <v>487</v>
      </c>
      <c r="E150">
        <v>306564</v>
      </c>
      <c r="F150">
        <v>5.52</v>
      </c>
      <c r="G150">
        <v>26452</v>
      </c>
      <c r="H150">
        <f t="shared" si="4"/>
        <v>317</v>
      </c>
    </row>
    <row r="151" spans="1:8" x14ac:dyDescent="0.3">
      <c r="A151" s="3">
        <v>45605</v>
      </c>
      <c r="B151" t="s">
        <v>10</v>
      </c>
      <c r="C151">
        <v>510</v>
      </c>
      <c r="D151">
        <v>195</v>
      </c>
      <c r="E151">
        <v>224534</v>
      </c>
      <c r="F151">
        <v>9.4</v>
      </c>
      <c r="G151">
        <v>30987</v>
      </c>
      <c r="H151">
        <f t="shared" si="4"/>
        <v>315</v>
      </c>
    </row>
    <row r="152" spans="1:8" x14ac:dyDescent="0.3">
      <c r="A152" s="3">
        <v>45467</v>
      </c>
      <c r="B152" t="s">
        <v>8</v>
      </c>
      <c r="C152">
        <v>350</v>
      </c>
      <c r="D152">
        <v>41</v>
      </c>
      <c r="E152">
        <v>251694</v>
      </c>
      <c r="F152">
        <v>1.91</v>
      </c>
      <c r="G152">
        <v>38610</v>
      </c>
      <c r="H152">
        <f t="shared" si="4"/>
        <v>309</v>
      </c>
    </row>
    <row r="153" spans="1:8" x14ac:dyDescent="0.3">
      <c r="A153" s="3">
        <v>45575</v>
      </c>
      <c r="B153" t="s">
        <v>8</v>
      </c>
      <c r="C153">
        <v>651</v>
      </c>
      <c r="D153">
        <v>353</v>
      </c>
      <c r="E153">
        <v>224699</v>
      </c>
      <c r="F153">
        <v>5.61</v>
      </c>
      <c r="G153">
        <v>45708</v>
      </c>
      <c r="H153">
        <f t="shared" si="4"/>
        <v>298</v>
      </c>
    </row>
    <row r="154" spans="1:8" x14ac:dyDescent="0.3">
      <c r="A154" s="3">
        <v>45616</v>
      </c>
      <c r="B154" t="s">
        <v>9</v>
      </c>
      <c r="C154">
        <v>364</v>
      </c>
      <c r="D154">
        <v>72</v>
      </c>
      <c r="E154">
        <v>211090</v>
      </c>
      <c r="F154">
        <v>5.53</v>
      </c>
      <c r="G154">
        <v>21061</v>
      </c>
      <c r="H154">
        <f t="shared" si="4"/>
        <v>292</v>
      </c>
    </row>
    <row r="155" spans="1:8" x14ac:dyDescent="0.3">
      <c r="A155" s="3">
        <v>45553</v>
      </c>
      <c r="B155" t="s">
        <v>10</v>
      </c>
      <c r="C155">
        <v>452</v>
      </c>
      <c r="D155">
        <v>161</v>
      </c>
      <c r="E155">
        <v>221274</v>
      </c>
      <c r="F155">
        <v>2.65</v>
      </c>
      <c r="G155">
        <v>40888</v>
      </c>
      <c r="H155">
        <f t="shared" si="4"/>
        <v>291</v>
      </c>
    </row>
    <row r="156" spans="1:8" x14ac:dyDescent="0.3">
      <c r="A156" s="3">
        <v>45523</v>
      </c>
      <c r="B156" t="s">
        <v>8</v>
      </c>
      <c r="C156">
        <v>643</v>
      </c>
      <c r="D156">
        <v>358</v>
      </c>
      <c r="E156">
        <v>157599</v>
      </c>
      <c r="F156">
        <v>3.88</v>
      </c>
      <c r="G156">
        <v>7285</v>
      </c>
      <c r="H156">
        <f t="shared" si="4"/>
        <v>285</v>
      </c>
    </row>
    <row r="157" spans="1:8" x14ac:dyDescent="0.3">
      <c r="A157" s="3">
        <v>45644</v>
      </c>
      <c r="B157" t="s">
        <v>9</v>
      </c>
      <c r="C157">
        <v>337</v>
      </c>
      <c r="D157">
        <v>68</v>
      </c>
      <c r="E157">
        <v>456298</v>
      </c>
      <c r="F157">
        <v>7.57</v>
      </c>
      <c r="G157">
        <v>4007</v>
      </c>
      <c r="H157">
        <f t="shared" si="4"/>
        <v>269</v>
      </c>
    </row>
    <row r="158" spans="1:8" x14ac:dyDescent="0.3">
      <c r="A158" s="3">
        <v>45526</v>
      </c>
      <c r="B158" t="s">
        <v>7</v>
      </c>
      <c r="C158">
        <v>703</v>
      </c>
      <c r="D158">
        <v>441</v>
      </c>
      <c r="E158">
        <v>357089</v>
      </c>
      <c r="F158">
        <v>6.5</v>
      </c>
      <c r="G158">
        <v>32478</v>
      </c>
      <c r="H158">
        <f t="shared" si="4"/>
        <v>262</v>
      </c>
    </row>
    <row r="159" spans="1:8" x14ac:dyDescent="0.3">
      <c r="A159" s="3">
        <v>45504</v>
      </c>
      <c r="B159" t="s">
        <v>9</v>
      </c>
      <c r="C159">
        <v>751</v>
      </c>
      <c r="D159">
        <v>491</v>
      </c>
      <c r="E159">
        <v>434047</v>
      </c>
      <c r="F159">
        <v>9.24</v>
      </c>
      <c r="G159">
        <v>15476</v>
      </c>
      <c r="H159">
        <f t="shared" si="4"/>
        <v>260</v>
      </c>
    </row>
    <row r="160" spans="1:8" x14ac:dyDescent="0.3">
      <c r="A160" s="3">
        <v>45606</v>
      </c>
      <c r="B160" t="s">
        <v>7</v>
      </c>
      <c r="C160">
        <v>393</v>
      </c>
      <c r="D160">
        <v>181</v>
      </c>
      <c r="E160">
        <v>462142</v>
      </c>
      <c r="F160">
        <v>7.23</v>
      </c>
      <c r="G160">
        <v>6296</v>
      </c>
      <c r="H160">
        <f t="shared" si="4"/>
        <v>212</v>
      </c>
    </row>
    <row r="161" spans="1:8" x14ac:dyDescent="0.3">
      <c r="A161" s="3">
        <v>45625</v>
      </c>
      <c r="B161" t="s">
        <v>10</v>
      </c>
      <c r="C161">
        <v>623</v>
      </c>
      <c r="D161">
        <v>414</v>
      </c>
      <c r="E161">
        <v>290354</v>
      </c>
      <c r="F161">
        <v>6.49</v>
      </c>
      <c r="G161">
        <v>39923</v>
      </c>
      <c r="H161">
        <f t="shared" si="4"/>
        <v>209</v>
      </c>
    </row>
    <row r="162" spans="1:8" x14ac:dyDescent="0.3">
      <c r="A162" s="3">
        <v>45500</v>
      </c>
      <c r="B162" t="s">
        <v>9</v>
      </c>
      <c r="C162">
        <v>557</v>
      </c>
      <c r="D162">
        <v>360</v>
      </c>
      <c r="E162">
        <v>318779</v>
      </c>
      <c r="F162">
        <v>8.02</v>
      </c>
      <c r="G162">
        <v>25797</v>
      </c>
      <c r="H162">
        <f t="shared" ref="H162:H193" si="5">C162-D162</f>
        <v>197</v>
      </c>
    </row>
    <row r="163" spans="1:8" x14ac:dyDescent="0.3">
      <c r="A163" s="3">
        <v>45493</v>
      </c>
      <c r="B163" t="s">
        <v>10</v>
      </c>
      <c r="C163">
        <v>221</v>
      </c>
      <c r="D163">
        <v>31</v>
      </c>
      <c r="E163">
        <v>87443</v>
      </c>
      <c r="F163">
        <v>6.19</v>
      </c>
      <c r="G163">
        <v>10283</v>
      </c>
      <c r="H163">
        <f t="shared" si="5"/>
        <v>190</v>
      </c>
    </row>
    <row r="164" spans="1:8" x14ac:dyDescent="0.3">
      <c r="A164" s="3">
        <v>45452</v>
      </c>
      <c r="B164" t="s">
        <v>9</v>
      </c>
      <c r="C164">
        <v>436</v>
      </c>
      <c r="D164">
        <v>250</v>
      </c>
      <c r="E164">
        <v>254347</v>
      </c>
      <c r="F164">
        <v>4.01</v>
      </c>
      <c r="G164">
        <v>8912</v>
      </c>
      <c r="H164">
        <f t="shared" si="5"/>
        <v>186</v>
      </c>
    </row>
    <row r="165" spans="1:8" x14ac:dyDescent="0.3">
      <c r="A165" s="3">
        <v>45622</v>
      </c>
      <c r="B165" t="s">
        <v>7</v>
      </c>
      <c r="C165">
        <v>559</v>
      </c>
      <c r="D165">
        <v>392</v>
      </c>
      <c r="E165">
        <v>78789</v>
      </c>
      <c r="F165">
        <v>3.19</v>
      </c>
      <c r="G165">
        <v>2436</v>
      </c>
      <c r="H165">
        <f t="shared" si="5"/>
        <v>167</v>
      </c>
    </row>
    <row r="166" spans="1:8" x14ac:dyDescent="0.3">
      <c r="A166" s="3">
        <v>45473</v>
      </c>
      <c r="B166" t="s">
        <v>10</v>
      </c>
      <c r="C166">
        <v>224</v>
      </c>
      <c r="D166">
        <v>64</v>
      </c>
      <c r="E166">
        <v>156683</v>
      </c>
      <c r="F166">
        <v>4.5599999999999996</v>
      </c>
      <c r="G166">
        <v>28474</v>
      </c>
      <c r="H166">
        <f t="shared" si="5"/>
        <v>160</v>
      </c>
    </row>
    <row r="167" spans="1:8" x14ac:dyDescent="0.3">
      <c r="A167" s="3">
        <v>45474</v>
      </c>
      <c r="B167" t="s">
        <v>7</v>
      </c>
      <c r="C167">
        <v>508</v>
      </c>
      <c r="D167">
        <v>349</v>
      </c>
      <c r="E167">
        <v>473812</v>
      </c>
      <c r="F167">
        <v>7.88</v>
      </c>
      <c r="G167">
        <v>17328</v>
      </c>
      <c r="H167">
        <f t="shared" si="5"/>
        <v>159</v>
      </c>
    </row>
    <row r="168" spans="1:8" x14ac:dyDescent="0.3">
      <c r="A168" s="3">
        <v>45629</v>
      </c>
      <c r="B168" t="s">
        <v>10</v>
      </c>
      <c r="C168">
        <v>520</v>
      </c>
      <c r="D168">
        <v>375</v>
      </c>
      <c r="E168">
        <v>369525</v>
      </c>
      <c r="F168">
        <v>6.54</v>
      </c>
      <c r="G168">
        <v>20733</v>
      </c>
      <c r="H168">
        <f t="shared" si="5"/>
        <v>145</v>
      </c>
    </row>
    <row r="169" spans="1:8" x14ac:dyDescent="0.3">
      <c r="A169" s="3">
        <v>45521</v>
      </c>
      <c r="B169" t="s">
        <v>10</v>
      </c>
      <c r="C169">
        <v>307</v>
      </c>
      <c r="D169">
        <v>189</v>
      </c>
      <c r="E169">
        <v>117767</v>
      </c>
      <c r="F169">
        <v>9.3000000000000007</v>
      </c>
      <c r="G169">
        <v>27822</v>
      </c>
      <c r="H169">
        <f t="shared" si="5"/>
        <v>118</v>
      </c>
    </row>
    <row r="170" spans="1:8" x14ac:dyDescent="0.3">
      <c r="A170" s="3">
        <v>45520</v>
      </c>
      <c r="B170" t="s">
        <v>9</v>
      </c>
      <c r="C170">
        <v>437</v>
      </c>
      <c r="D170">
        <v>330</v>
      </c>
      <c r="E170">
        <v>476486</v>
      </c>
      <c r="F170">
        <v>4.97</v>
      </c>
      <c r="G170">
        <v>4509</v>
      </c>
      <c r="H170">
        <f t="shared" si="5"/>
        <v>107</v>
      </c>
    </row>
    <row r="171" spans="1:8" x14ac:dyDescent="0.3">
      <c r="A171" s="3">
        <v>45507</v>
      </c>
      <c r="B171" t="s">
        <v>8</v>
      </c>
      <c r="C171">
        <v>443</v>
      </c>
      <c r="D171">
        <v>345</v>
      </c>
      <c r="E171">
        <v>474162</v>
      </c>
      <c r="F171">
        <v>9.1999999999999993</v>
      </c>
      <c r="G171">
        <v>47462</v>
      </c>
      <c r="H171">
        <f t="shared" si="5"/>
        <v>98</v>
      </c>
    </row>
    <row r="172" spans="1:8" x14ac:dyDescent="0.3">
      <c r="A172" s="3">
        <v>45548</v>
      </c>
      <c r="B172" t="s">
        <v>9</v>
      </c>
      <c r="C172">
        <v>330</v>
      </c>
      <c r="D172">
        <v>232</v>
      </c>
      <c r="E172">
        <v>88455</v>
      </c>
      <c r="F172">
        <v>2.69</v>
      </c>
      <c r="G172">
        <v>39530</v>
      </c>
      <c r="H172">
        <f t="shared" si="5"/>
        <v>98</v>
      </c>
    </row>
    <row r="173" spans="1:8" x14ac:dyDescent="0.3">
      <c r="A173" s="3">
        <v>45465</v>
      </c>
      <c r="B173" t="s">
        <v>10</v>
      </c>
      <c r="C173">
        <v>144</v>
      </c>
      <c r="D173">
        <v>53</v>
      </c>
      <c r="E173">
        <v>113678</v>
      </c>
      <c r="F173">
        <v>8.7200000000000006</v>
      </c>
      <c r="G173">
        <v>30060</v>
      </c>
      <c r="H173">
        <f t="shared" si="5"/>
        <v>91</v>
      </c>
    </row>
    <row r="174" spans="1:8" x14ac:dyDescent="0.3">
      <c r="A174" s="3">
        <v>45490</v>
      </c>
      <c r="B174" t="s">
        <v>7</v>
      </c>
      <c r="C174">
        <v>215</v>
      </c>
      <c r="D174">
        <v>139</v>
      </c>
      <c r="E174">
        <v>325444</v>
      </c>
      <c r="F174">
        <v>3.25</v>
      </c>
      <c r="G174">
        <v>35501</v>
      </c>
      <c r="H174">
        <f t="shared" si="5"/>
        <v>76</v>
      </c>
    </row>
    <row r="175" spans="1:8" x14ac:dyDescent="0.3">
      <c r="A175" s="3">
        <v>45543</v>
      </c>
      <c r="B175" t="s">
        <v>8</v>
      </c>
      <c r="C175">
        <v>513</v>
      </c>
      <c r="D175">
        <v>441</v>
      </c>
      <c r="E175">
        <v>338847</v>
      </c>
      <c r="F175">
        <v>2.68</v>
      </c>
      <c r="G175">
        <v>39997</v>
      </c>
      <c r="H175">
        <f t="shared" si="5"/>
        <v>72</v>
      </c>
    </row>
    <row r="176" spans="1:8" x14ac:dyDescent="0.3">
      <c r="A176" s="3">
        <v>45463</v>
      </c>
      <c r="B176" t="s">
        <v>8</v>
      </c>
      <c r="C176">
        <v>505</v>
      </c>
      <c r="D176">
        <v>441</v>
      </c>
      <c r="E176">
        <v>220020</v>
      </c>
      <c r="F176">
        <v>4.4800000000000004</v>
      </c>
      <c r="G176">
        <v>42307</v>
      </c>
      <c r="H176">
        <f t="shared" si="5"/>
        <v>64</v>
      </c>
    </row>
    <row r="177" spans="1:8" x14ac:dyDescent="0.3">
      <c r="A177" s="3">
        <v>45545</v>
      </c>
      <c r="B177" t="s">
        <v>10</v>
      </c>
      <c r="C177">
        <v>278</v>
      </c>
      <c r="D177">
        <v>218</v>
      </c>
      <c r="E177">
        <v>301695</v>
      </c>
      <c r="F177">
        <v>4.68</v>
      </c>
      <c r="G177">
        <v>22373</v>
      </c>
      <c r="H177">
        <f t="shared" si="5"/>
        <v>60</v>
      </c>
    </row>
    <row r="178" spans="1:8" x14ac:dyDescent="0.3">
      <c r="A178" s="3">
        <v>45628</v>
      </c>
      <c r="B178" t="s">
        <v>9</v>
      </c>
      <c r="C178">
        <v>353</v>
      </c>
      <c r="D178">
        <v>300</v>
      </c>
      <c r="E178">
        <v>142507</v>
      </c>
      <c r="F178">
        <v>5.3</v>
      </c>
      <c r="G178">
        <v>11035</v>
      </c>
      <c r="H178">
        <f t="shared" si="5"/>
        <v>53</v>
      </c>
    </row>
    <row r="179" spans="1:8" x14ac:dyDescent="0.3">
      <c r="A179" s="3">
        <v>45488</v>
      </c>
      <c r="B179" t="s">
        <v>9</v>
      </c>
      <c r="C179">
        <v>485</v>
      </c>
      <c r="D179">
        <v>448</v>
      </c>
      <c r="E179">
        <v>434883</v>
      </c>
      <c r="F179">
        <v>8.5500000000000007</v>
      </c>
      <c r="G179">
        <v>33258</v>
      </c>
      <c r="H179">
        <f t="shared" si="5"/>
        <v>37</v>
      </c>
    </row>
    <row r="180" spans="1:8" x14ac:dyDescent="0.3">
      <c r="A180" s="3">
        <v>45495</v>
      </c>
      <c r="B180" t="s">
        <v>8</v>
      </c>
      <c r="C180">
        <v>248</v>
      </c>
      <c r="D180">
        <v>211</v>
      </c>
      <c r="E180">
        <v>379380</v>
      </c>
      <c r="F180">
        <v>9.0399999999999991</v>
      </c>
      <c r="G180">
        <v>26925</v>
      </c>
      <c r="H180">
        <f t="shared" si="5"/>
        <v>37</v>
      </c>
    </row>
    <row r="181" spans="1:8" x14ac:dyDescent="0.3">
      <c r="A181" s="3">
        <v>45532</v>
      </c>
      <c r="B181" t="s">
        <v>9</v>
      </c>
      <c r="C181">
        <v>191</v>
      </c>
      <c r="D181">
        <v>154</v>
      </c>
      <c r="E181">
        <v>240550</v>
      </c>
      <c r="F181">
        <v>5.22</v>
      </c>
      <c r="G181">
        <v>15827</v>
      </c>
      <c r="H181">
        <f t="shared" si="5"/>
        <v>37</v>
      </c>
    </row>
    <row r="182" spans="1:8" x14ac:dyDescent="0.3">
      <c r="A182" s="3">
        <v>45497</v>
      </c>
      <c r="B182" t="s">
        <v>10</v>
      </c>
      <c r="C182">
        <v>422</v>
      </c>
      <c r="D182">
        <v>394</v>
      </c>
      <c r="E182">
        <v>239044</v>
      </c>
      <c r="F182">
        <v>7.83</v>
      </c>
      <c r="G182">
        <v>32929</v>
      </c>
      <c r="H182">
        <f t="shared" si="5"/>
        <v>28</v>
      </c>
    </row>
    <row r="183" spans="1:8" x14ac:dyDescent="0.3">
      <c r="A183" s="3">
        <v>45511</v>
      </c>
      <c r="B183" t="s">
        <v>8</v>
      </c>
      <c r="C183">
        <v>198</v>
      </c>
      <c r="D183">
        <v>217</v>
      </c>
      <c r="E183">
        <v>239753</v>
      </c>
      <c r="F183">
        <v>7.36</v>
      </c>
      <c r="G183">
        <v>11901</v>
      </c>
      <c r="H183">
        <f t="shared" si="5"/>
        <v>-19</v>
      </c>
    </row>
    <row r="184" spans="1:8" x14ac:dyDescent="0.3">
      <c r="A184" s="3">
        <v>45524</v>
      </c>
      <c r="B184" t="s">
        <v>9</v>
      </c>
      <c r="C184">
        <v>201</v>
      </c>
      <c r="D184">
        <v>221</v>
      </c>
      <c r="E184">
        <v>309772</v>
      </c>
      <c r="F184">
        <v>5.9</v>
      </c>
      <c r="G184">
        <v>33174</v>
      </c>
      <c r="H184">
        <f t="shared" si="5"/>
        <v>-20</v>
      </c>
    </row>
    <row r="185" spans="1:8" x14ac:dyDescent="0.3">
      <c r="A185" s="3">
        <v>45509</v>
      </c>
      <c r="B185" t="s">
        <v>10</v>
      </c>
      <c r="C185">
        <v>123</v>
      </c>
      <c r="D185">
        <v>155</v>
      </c>
      <c r="E185">
        <v>119934</v>
      </c>
      <c r="F185">
        <v>3.5</v>
      </c>
      <c r="G185">
        <v>5442</v>
      </c>
      <c r="H185">
        <f t="shared" si="5"/>
        <v>-32</v>
      </c>
    </row>
    <row r="186" spans="1:8" x14ac:dyDescent="0.3">
      <c r="A186" s="3">
        <v>45596</v>
      </c>
      <c r="B186" t="s">
        <v>9</v>
      </c>
      <c r="C186">
        <v>362</v>
      </c>
      <c r="D186">
        <v>399</v>
      </c>
      <c r="E186">
        <v>145608</v>
      </c>
      <c r="F186">
        <v>7.3</v>
      </c>
      <c r="G186">
        <v>37636</v>
      </c>
      <c r="H186">
        <f t="shared" si="5"/>
        <v>-37</v>
      </c>
    </row>
    <row r="187" spans="1:8" x14ac:dyDescent="0.3">
      <c r="A187" s="3">
        <v>45542</v>
      </c>
      <c r="B187" t="s">
        <v>7</v>
      </c>
      <c r="C187">
        <v>187</v>
      </c>
      <c r="D187">
        <v>236</v>
      </c>
      <c r="E187">
        <v>51087</v>
      </c>
      <c r="F187">
        <v>9.41</v>
      </c>
      <c r="G187">
        <v>29533</v>
      </c>
      <c r="H187">
        <f t="shared" si="5"/>
        <v>-49</v>
      </c>
    </row>
    <row r="188" spans="1:8" x14ac:dyDescent="0.3">
      <c r="A188" s="3">
        <v>45539</v>
      </c>
      <c r="B188" t="s">
        <v>8</v>
      </c>
      <c r="C188">
        <v>171</v>
      </c>
      <c r="D188">
        <v>277</v>
      </c>
      <c r="E188">
        <v>309483</v>
      </c>
      <c r="F188">
        <v>8.6999999999999993</v>
      </c>
      <c r="G188">
        <v>38452</v>
      </c>
      <c r="H188">
        <f t="shared" si="5"/>
        <v>-106</v>
      </c>
    </row>
    <row r="189" spans="1:8" x14ac:dyDescent="0.3">
      <c r="A189" s="3">
        <v>45603</v>
      </c>
      <c r="B189" t="s">
        <v>8</v>
      </c>
      <c r="C189">
        <v>345</v>
      </c>
      <c r="D189">
        <v>464</v>
      </c>
      <c r="E189">
        <v>366881</v>
      </c>
      <c r="F189">
        <v>4.55</v>
      </c>
      <c r="G189">
        <v>20553</v>
      </c>
      <c r="H189">
        <f t="shared" si="5"/>
        <v>-119</v>
      </c>
    </row>
    <row r="190" spans="1:8" x14ac:dyDescent="0.3">
      <c r="A190" s="3">
        <v>45461</v>
      </c>
      <c r="B190" t="s">
        <v>10</v>
      </c>
      <c r="C190">
        <v>308</v>
      </c>
      <c r="D190">
        <v>431</v>
      </c>
      <c r="E190">
        <v>426184</v>
      </c>
      <c r="F190">
        <v>2.62</v>
      </c>
      <c r="G190">
        <v>1783</v>
      </c>
      <c r="H190">
        <f t="shared" si="5"/>
        <v>-123</v>
      </c>
    </row>
    <row r="191" spans="1:8" x14ac:dyDescent="0.3">
      <c r="A191" s="3">
        <v>45576</v>
      </c>
      <c r="B191" t="s">
        <v>9</v>
      </c>
      <c r="C191">
        <v>118</v>
      </c>
      <c r="D191">
        <v>262</v>
      </c>
      <c r="E191">
        <v>487896</v>
      </c>
      <c r="F191">
        <v>2.56</v>
      </c>
      <c r="G191">
        <v>12350</v>
      </c>
      <c r="H191">
        <f t="shared" si="5"/>
        <v>-144</v>
      </c>
    </row>
    <row r="192" spans="1:8" x14ac:dyDescent="0.3">
      <c r="A192" s="3">
        <v>45626</v>
      </c>
      <c r="B192" t="s">
        <v>7</v>
      </c>
      <c r="C192">
        <v>198</v>
      </c>
      <c r="D192">
        <v>358</v>
      </c>
      <c r="E192">
        <v>66682</v>
      </c>
      <c r="F192">
        <v>6.73</v>
      </c>
      <c r="G192">
        <v>2293</v>
      </c>
      <c r="H192">
        <f t="shared" si="5"/>
        <v>-160</v>
      </c>
    </row>
    <row r="193" spans="1:8" x14ac:dyDescent="0.3">
      <c r="A193" s="3">
        <v>45471</v>
      </c>
      <c r="B193" t="s">
        <v>8</v>
      </c>
      <c r="C193">
        <v>170</v>
      </c>
      <c r="D193">
        <v>334</v>
      </c>
      <c r="E193">
        <v>334626</v>
      </c>
      <c r="F193">
        <v>6.44</v>
      </c>
      <c r="G193">
        <v>43420</v>
      </c>
      <c r="H193">
        <f t="shared" si="5"/>
        <v>-164</v>
      </c>
    </row>
    <row r="194" spans="1:8" x14ac:dyDescent="0.3">
      <c r="A194" s="3">
        <v>45582</v>
      </c>
      <c r="B194" t="s">
        <v>7</v>
      </c>
      <c r="C194">
        <v>115</v>
      </c>
      <c r="D194">
        <v>281</v>
      </c>
      <c r="E194">
        <v>357265</v>
      </c>
      <c r="F194">
        <v>9.23</v>
      </c>
      <c r="G194">
        <v>25525</v>
      </c>
      <c r="H194">
        <f t="shared" ref="H194:H201" si="6">C194-D194</f>
        <v>-166</v>
      </c>
    </row>
    <row r="195" spans="1:8" x14ac:dyDescent="0.3">
      <c r="A195" s="3">
        <v>45627</v>
      </c>
      <c r="B195" t="s">
        <v>8</v>
      </c>
      <c r="C195">
        <v>198</v>
      </c>
      <c r="D195">
        <v>373</v>
      </c>
      <c r="E195">
        <v>70707</v>
      </c>
      <c r="F195">
        <v>4.83</v>
      </c>
      <c r="G195">
        <v>25920</v>
      </c>
      <c r="H195">
        <f t="shared" si="6"/>
        <v>-175</v>
      </c>
    </row>
    <row r="196" spans="1:8" x14ac:dyDescent="0.3">
      <c r="A196" s="3">
        <v>45515</v>
      </c>
      <c r="B196" t="s">
        <v>8</v>
      </c>
      <c r="C196">
        <v>250</v>
      </c>
      <c r="D196">
        <v>429</v>
      </c>
      <c r="E196">
        <v>453423</v>
      </c>
      <c r="F196">
        <v>1.77</v>
      </c>
      <c r="G196">
        <v>2315</v>
      </c>
      <c r="H196">
        <f t="shared" si="6"/>
        <v>-179</v>
      </c>
    </row>
    <row r="197" spans="1:8" x14ac:dyDescent="0.3">
      <c r="A197" s="3">
        <v>45483</v>
      </c>
      <c r="B197" t="s">
        <v>8</v>
      </c>
      <c r="C197">
        <v>214</v>
      </c>
      <c r="D197">
        <v>411</v>
      </c>
      <c r="E197">
        <v>125034</v>
      </c>
      <c r="F197">
        <v>6.11</v>
      </c>
      <c r="G197">
        <v>26455</v>
      </c>
      <c r="H197">
        <f t="shared" si="6"/>
        <v>-197</v>
      </c>
    </row>
    <row r="198" spans="1:8" x14ac:dyDescent="0.3">
      <c r="A198" s="3">
        <v>45589</v>
      </c>
      <c r="B198" t="s">
        <v>10</v>
      </c>
      <c r="C198">
        <v>152</v>
      </c>
      <c r="D198">
        <v>355</v>
      </c>
      <c r="E198">
        <v>270766</v>
      </c>
      <c r="F198">
        <v>9.48</v>
      </c>
      <c r="G198">
        <v>18001</v>
      </c>
      <c r="H198">
        <f t="shared" si="6"/>
        <v>-203</v>
      </c>
    </row>
    <row r="199" spans="1:8" x14ac:dyDescent="0.3">
      <c r="A199" s="3">
        <v>45462</v>
      </c>
      <c r="B199" t="s">
        <v>7</v>
      </c>
      <c r="C199">
        <v>226</v>
      </c>
      <c r="D199">
        <v>445</v>
      </c>
      <c r="E199">
        <v>419447</v>
      </c>
      <c r="F199">
        <v>9.36</v>
      </c>
      <c r="G199">
        <v>9566</v>
      </c>
      <c r="H199">
        <f t="shared" si="6"/>
        <v>-219</v>
      </c>
    </row>
    <row r="200" spans="1:8" x14ac:dyDescent="0.3">
      <c r="A200" s="3">
        <v>45479</v>
      </c>
      <c r="B200" t="s">
        <v>8</v>
      </c>
      <c r="C200">
        <v>160</v>
      </c>
      <c r="D200">
        <v>478</v>
      </c>
      <c r="E200">
        <v>435034</v>
      </c>
      <c r="F200">
        <v>7.73</v>
      </c>
      <c r="G200">
        <v>4839</v>
      </c>
      <c r="H200">
        <f t="shared" si="6"/>
        <v>-318</v>
      </c>
    </row>
    <row r="201" spans="1:8" x14ac:dyDescent="0.3">
      <c r="A201" s="3">
        <v>45645</v>
      </c>
      <c r="B201" t="s">
        <v>10</v>
      </c>
      <c r="C201">
        <v>119</v>
      </c>
      <c r="D201">
        <v>456</v>
      </c>
      <c r="E201">
        <v>82558</v>
      </c>
      <c r="F201">
        <v>6.81</v>
      </c>
      <c r="G201">
        <v>12174</v>
      </c>
      <c r="H201">
        <f t="shared" si="6"/>
        <v>-337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38CD7-CBC0-46A0-A9CC-EF783E4A02C4}">
  <dimension ref="A1:F12"/>
  <sheetViews>
    <sheetView workbookViewId="0">
      <selection activeCell="E21" sqref="E21"/>
    </sheetView>
  </sheetViews>
  <sheetFormatPr defaultRowHeight="14.4" x14ac:dyDescent="0.3"/>
  <cols>
    <col min="1" max="1" width="26.19921875" bestFit="1" customWidth="1"/>
    <col min="2" max="2" width="15.59765625" bestFit="1" customWidth="1"/>
    <col min="3" max="3" width="9.3984375" bestFit="1" customWidth="1"/>
    <col min="4" max="4" width="6.8984375" bestFit="1" customWidth="1"/>
    <col min="5" max="5" width="8.3984375" bestFit="1" customWidth="1"/>
    <col min="6" max="6" width="10.796875" bestFit="1" customWidth="1"/>
  </cols>
  <sheetData>
    <row r="1" spans="1:6" x14ac:dyDescent="0.3">
      <c r="A1" t="s">
        <v>24</v>
      </c>
    </row>
    <row r="3" spans="1:6" x14ac:dyDescent="0.3">
      <c r="A3" s="7" t="s">
        <v>15</v>
      </c>
      <c r="B3" s="7" t="s">
        <v>14</v>
      </c>
    </row>
    <row r="4" spans="1:6" x14ac:dyDescent="0.3">
      <c r="A4" s="7" t="s">
        <v>12</v>
      </c>
      <c r="B4" t="s">
        <v>8</v>
      </c>
      <c r="C4" t="s">
        <v>7</v>
      </c>
      <c r="D4" t="s">
        <v>9</v>
      </c>
      <c r="E4" t="s">
        <v>10</v>
      </c>
      <c r="F4" t="s">
        <v>13</v>
      </c>
    </row>
    <row r="5" spans="1:6" x14ac:dyDescent="0.3">
      <c r="A5" s="8" t="s">
        <v>16</v>
      </c>
      <c r="B5">
        <v>5546</v>
      </c>
      <c r="C5">
        <v>6384</v>
      </c>
      <c r="D5">
        <v>5064</v>
      </c>
      <c r="E5">
        <v>3063</v>
      </c>
      <c r="F5">
        <v>20057</v>
      </c>
    </row>
    <row r="6" spans="1:6" x14ac:dyDescent="0.3">
      <c r="A6" s="8" t="s">
        <v>17</v>
      </c>
      <c r="B6">
        <v>5348</v>
      </c>
      <c r="C6">
        <v>6881</v>
      </c>
      <c r="D6">
        <v>6527</v>
      </c>
      <c r="E6">
        <v>2694</v>
      </c>
      <c r="F6">
        <v>21450</v>
      </c>
    </row>
    <row r="7" spans="1:6" x14ac:dyDescent="0.3">
      <c r="A7" s="8" t="s">
        <v>18</v>
      </c>
      <c r="B7">
        <v>3212</v>
      </c>
      <c r="C7">
        <v>7399</v>
      </c>
      <c r="D7">
        <v>4164</v>
      </c>
      <c r="E7">
        <v>7406</v>
      </c>
      <c r="F7">
        <v>22181</v>
      </c>
    </row>
    <row r="8" spans="1:6" x14ac:dyDescent="0.3">
      <c r="A8" s="8" t="s">
        <v>19</v>
      </c>
      <c r="B8">
        <v>6484</v>
      </c>
      <c r="C8">
        <v>7406</v>
      </c>
      <c r="D8">
        <v>8466</v>
      </c>
      <c r="E8">
        <v>5667</v>
      </c>
      <c r="F8">
        <v>28023</v>
      </c>
    </row>
    <row r="9" spans="1:6" x14ac:dyDescent="0.3">
      <c r="A9" s="8" t="s">
        <v>20</v>
      </c>
      <c r="B9">
        <v>7269</v>
      </c>
      <c r="C9">
        <v>9564</v>
      </c>
      <c r="D9">
        <v>6624</v>
      </c>
      <c r="E9">
        <v>6397</v>
      </c>
      <c r="F9">
        <v>29854</v>
      </c>
    </row>
    <row r="10" spans="1:6" x14ac:dyDescent="0.3">
      <c r="A10" s="8" t="s">
        <v>21</v>
      </c>
      <c r="B10">
        <v>5629</v>
      </c>
      <c r="C10">
        <v>4691</v>
      </c>
      <c r="D10">
        <v>6793</v>
      </c>
      <c r="E10">
        <v>7198</v>
      </c>
      <c r="F10">
        <v>24311</v>
      </c>
    </row>
    <row r="11" spans="1:6" x14ac:dyDescent="0.3">
      <c r="A11" s="8" t="s">
        <v>22</v>
      </c>
      <c r="B11">
        <v>2069</v>
      </c>
      <c r="C11">
        <v>5679</v>
      </c>
      <c r="D11">
        <v>3539</v>
      </c>
      <c r="E11">
        <v>2942</v>
      </c>
      <c r="F11">
        <v>14229</v>
      </c>
    </row>
    <row r="12" spans="1:6" x14ac:dyDescent="0.3">
      <c r="A12" s="8" t="s">
        <v>13</v>
      </c>
      <c r="B12">
        <v>35557</v>
      </c>
      <c r="C12">
        <v>48004</v>
      </c>
      <c r="D12">
        <v>41177</v>
      </c>
      <c r="E12">
        <v>35367</v>
      </c>
      <c r="F12">
        <v>160105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48C78-4D3A-4A17-BB92-BB7CD7271E90}">
  <dimension ref="A1:C201"/>
  <sheetViews>
    <sheetView workbookViewId="0">
      <selection activeCell="N21" sqref="N21"/>
    </sheetView>
  </sheetViews>
  <sheetFormatPr defaultRowHeight="14.4" x14ac:dyDescent="0.3"/>
  <cols>
    <col min="1" max="1" width="18.09765625" customWidth="1"/>
    <col min="2" max="2" width="21.19921875" customWidth="1"/>
    <col min="3" max="3" width="13.69921875" customWidth="1"/>
  </cols>
  <sheetData>
    <row r="1" spans="1:3" x14ac:dyDescent="0.3">
      <c r="A1" t="s">
        <v>0</v>
      </c>
      <c r="B1" t="s">
        <v>11</v>
      </c>
      <c r="C1" t="s">
        <v>23</v>
      </c>
    </row>
    <row r="2" spans="1:3" x14ac:dyDescent="0.3">
      <c r="A2" s="3">
        <v>45446</v>
      </c>
      <c r="B2">
        <v>1047</v>
      </c>
    </row>
    <row r="3" spans="1:3" x14ac:dyDescent="0.3">
      <c r="A3" s="3">
        <v>45450</v>
      </c>
      <c r="B3">
        <v>517</v>
      </c>
    </row>
    <row r="4" spans="1:3" x14ac:dyDescent="0.3">
      <c r="A4" s="3">
        <v>45454</v>
      </c>
      <c r="B4">
        <v>893</v>
      </c>
      <c r="C4" s="9">
        <f t="shared" ref="C4:C51" si="0">AVERAGE(B2:B4)</f>
        <v>819</v>
      </c>
    </row>
    <row r="5" spans="1:3" x14ac:dyDescent="0.3">
      <c r="A5" s="3">
        <v>45458</v>
      </c>
      <c r="B5">
        <v>629</v>
      </c>
      <c r="C5" s="9">
        <f t="shared" si="0"/>
        <v>679.66666666666663</v>
      </c>
    </row>
    <row r="6" spans="1:3" x14ac:dyDescent="0.3">
      <c r="A6" s="3">
        <v>45462</v>
      </c>
      <c r="B6">
        <v>-219</v>
      </c>
      <c r="C6" s="9">
        <f t="shared" si="0"/>
        <v>434.33333333333331</v>
      </c>
    </row>
    <row r="7" spans="1:3" x14ac:dyDescent="0.3">
      <c r="A7" s="3">
        <v>45466</v>
      </c>
      <c r="B7">
        <v>1672</v>
      </c>
      <c r="C7" s="9">
        <f t="shared" si="0"/>
        <v>694</v>
      </c>
    </row>
    <row r="8" spans="1:3" x14ac:dyDescent="0.3">
      <c r="A8" s="3">
        <v>45470</v>
      </c>
      <c r="B8">
        <v>1845</v>
      </c>
      <c r="C8" s="9">
        <f t="shared" si="0"/>
        <v>1099.3333333333333</v>
      </c>
    </row>
    <row r="9" spans="1:3" x14ac:dyDescent="0.3">
      <c r="A9" s="3">
        <v>45474</v>
      </c>
      <c r="B9">
        <v>159</v>
      </c>
      <c r="C9" s="9">
        <f t="shared" si="0"/>
        <v>1225.3333333333333</v>
      </c>
    </row>
    <row r="10" spans="1:3" x14ac:dyDescent="0.3">
      <c r="A10" s="3">
        <v>45478</v>
      </c>
      <c r="B10">
        <v>541</v>
      </c>
      <c r="C10" s="9">
        <f t="shared" si="0"/>
        <v>848.33333333333337</v>
      </c>
    </row>
    <row r="11" spans="1:3" x14ac:dyDescent="0.3">
      <c r="A11" s="3">
        <v>45482</v>
      </c>
      <c r="B11">
        <v>352</v>
      </c>
      <c r="C11" s="9">
        <f t="shared" si="0"/>
        <v>350.66666666666669</v>
      </c>
    </row>
    <row r="12" spans="1:3" x14ac:dyDescent="0.3">
      <c r="A12" s="3">
        <v>45486</v>
      </c>
      <c r="B12">
        <v>1325</v>
      </c>
      <c r="C12" s="9">
        <f t="shared" si="0"/>
        <v>739.33333333333337</v>
      </c>
    </row>
    <row r="13" spans="1:3" x14ac:dyDescent="0.3">
      <c r="A13" s="3">
        <v>45490</v>
      </c>
      <c r="B13">
        <v>76</v>
      </c>
      <c r="C13" s="9">
        <f t="shared" si="0"/>
        <v>584.33333333333337</v>
      </c>
    </row>
    <row r="14" spans="1:3" x14ac:dyDescent="0.3">
      <c r="A14" s="3">
        <v>45494</v>
      </c>
      <c r="B14">
        <v>1609</v>
      </c>
      <c r="C14" s="9">
        <f t="shared" si="0"/>
        <v>1003.3333333333334</v>
      </c>
    </row>
    <row r="15" spans="1:3" x14ac:dyDescent="0.3">
      <c r="A15" s="3">
        <v>45498</v>
      </c>
      <c r="B15">
        <v>1247</v>
      </c>
      <c r="C15" s="9">
        <f t="shared" si="0"/>
        <v>977.33333333333337</v>
      </c>
    </row>
    <row r="16" spans="1:3" x14ac:dyDescent="0.3">
      <c r="A16" s="3">
        <v>45502</v>
      </c>
      <c r="B16">
        <v>1572</v>
      </c>
      <c r="C16" s="9">
        <f t="shared" si="0"/>
        <v>1476</v>
      </c>
    </row>
    <row r="17" spans="1:3" x14ac:dyDescent="0.3">
      <c r="A17" s="3">
        <v>45506</v>
      </c>
      <c r="B17">
        <v>377</v>
      </c>
      <c r="C17" s="9">
        <f t="shared" si="0"/>
        <v>1065.3333333333333</v>
      </c>
    </row>
    <row r="18" spans="1:3" x14ac:dyDescent="0.3">
      <c r="A18" s="3">
        <v>45510</v>
      </c>
      <c r="B18">
        <v>666</v>
      </c>
      <c r="C18" s="9">
        <f t="shared" si="0"/>
        <v>871.66666666666663</v>
      </c>
    </row>
    <row r="19" spans="1:3" x14ac:dyDescent="0.3">
      <c r="A19" s="3">
        <v>45514</v>
      </c>
      <c r="B19">
        <v>1025</v>
      </c>
      <c r="C19" s="9">
        <f t="shared" si="0"/>
        <v>689.33333333333337</v>
      </c>
    </row>
    <row r="20" spans="1:3" x14ac:dyDescent="0.3">
      <c r="A20" s="3">
        <v>45518</v>
      </c>
      <c r="B20">
        <v>1872</v>
      </c>
      <c r="C20" s="9">
        <f t="shared" si="0"/>
        <v>1187.6666666666667</v>
      </c>
    </row>
    <row r="21" spans="1:3" x14ac:dyDescent="0.3">
      <c r="A21" s="3">
        <v>45522</v>
      </c>
      <c r="B21">
        <v>1224</v>
      </c>
      <c r="C21" s="9">
        <f t="shared" si="0"/>
        <v>1373.6666666666667</v>
      </c>
    </row>
    <row r="22" spans="1:3" x14ac:dyDescent="0.3">
      <c r="A22" s="3">
        <v>45526</v>
      </c>
      <c r="B22">
        <v>262</v>
      </c>
      <c r="C22" s="9">
        <f t="shared" si="0"/>
        <v>1119.3333333333333</v>
      </c>
    </row>
    <row r="23" spans="1:3" x14ac:dyDescent="0.3">
      <c r="A23" s="3">
        <v>45530</v>
      </c>
      <c r="B23">
        <v>576</v>
      </c>
      <c r="C23" s="9">
        <f t="shared" si="0"/>
        <v>687.33333333333337</v>
      </c>
    </row>
    <row r="24" spans="1:3" x14ac:dyDescent="0.3">
      <c r="A24" s="3">
        <v>45534</v>
      </c>
      <c r="B24">
        <v>1397</v>
      </c>
      <c r="C24" s="9">
        <f t="shared" si="0"/>
        <v>745</v>
      </c>
    </row>
    <row r="25" spans="1:3" x14ac:dyDescent="0.3">
      <c r="A25" s="3">
        <v>45538</v>
      </c>
      <c r="B25">
        <v>902</v>
      </c>
      <c r="C25" s="9">
        <f t="shared" si="0"/>
        <v>958.33333333333337</v>
      </c>
    </row>
    <row r="26" spans="1:3" x14ac:dyDescent="0.3">
      <c r="A26" s="3">
        <v>45542</v>
      </c>
      <c r="B26">
        <v>-49</v>
      </c>
      <c r="C26" s="9">
        <f t="shared" si="0"/>
        <v>750</v>
      </c>
    </row>
    <row r="27" spans="1:3" x14ac:dyDescent="0.3">
      <c r="A27" s="3">
        <v>45546</v>
      </c>
      <c r="B27">
        <v>1693</v>
      </c>
      <c r="C27" s="9">
        <f t="shared" si="0"/>
        <v>848.66666666666663</v>
      </c>
    </row>
    <row r="28" spans="1:3" x14ac:dyDescent="0.3">
      <c r="A28" s="3">
        <v>45550</v>
      </c>
      <c r="B28">
        <v>1625</v>
      </c>
      <c r="C28" s="9">
        <f t="shared" si="0"/>
        <v>1089.6666666666667</v>
      </c>
    </row>
    <row r="29" spans="1:3" x14ac:dyDescent="0.3">
      <c r="A29" s="3">
        <v>45554</v>
      </c>
      <c r="B29">
        <v>1119</v>
      </c>
      <c r="C29" s="9">
        <f t="shared" si="0"/>
        <v>1479</v>
      </c>
    </row>
    <row r="30" spans="1:3" x14ac:dyDescent="0.3">
      <c r="A30" s="3">
        <v>45558</v>
      </c>
      <c r="B30">
        <v>1432</v>
      </c>
      <c r="C30" s="9">
        <f t="shared" si="0"/>
        <v>1392</v>
      </c>
    </row>
    <row r="31" spans="1:3" x14ac:dyDescent="0.3">
      <c r="A31" s="3">
        <v>45562</v>
      </c>
      <c r="B31">
        <v>684</v>
      </c>
      <c r="C31" s="9">
        <f t="shared" si="0"/>
        <v>1078.3333333333333</v>
      </c>
    </row>
    <row r="32" spans="1:3" x14ac:dyDescent="0.3">
      <c r="A32" s="3">
        <v>45566</v>
      </c>
      <c r="B32">
        <v>1765</v>
      </c>
      <c r="C32" s="9">
        <f t="shared" si="0"/>
        <v>1293.6666666666667</v>
      </c>
    </row>
    <row r="33" spans="1:3" x14ac:dyDescent="0.3">
      <c r="A33" s="3">
        <v>45570</v>
      </c>
      <c r="B33">
        <v>903</v>
      </c>
      <c r="C33" s="9">
        <f t="shared" si="0"/>
        <v>1117.3333333333333</v>
      </c>
    </row>
    <row r="34" spans="1:3" x14ac:dyDescent="0.3">
      <c r="A34" s="3">
        <v>45574</v>
      </c>
      <c r="B34">
        <v>1722</v>
      </c>
      <c r="C34" s="9">
        <f t="shared" si="0"/>
        <v>1463.3333333333333</v>
      </c>
    </row>
    <row r="35" spans="1:3" x14ac:dyDescent="0.3">
      <c r="A35" s="3">
        <v>45578</v>
      </c>
      <c r="B35">
        <v>1572</v>
      </c>
      <c r="C35" s="9">
        <f t="shared" si="0"/>
        <v>1399</v>
      </c>
    </row>
    <row r="36" spans="1:3" x14ac:dyDescent="0.3">
      <c r="A36" s="3">
        <v>45582</v>
      </c>
      <c r="B36">
        <v>-166</v>
      </c>
      <c r="C36" s="9">
        <f t="shared" si="0"/>
        <v>1042.6666666666667</v>
      </c>
    </row>
    <row r="37" spans="1:3" x14ac:dyDescent="0.3">
      <c r="A37" s="3">
        <v>45586</v>
      </c>
      <c r="B37">
        <v>1080</v>
      </c>
      <c r="C37" s="9">
        <f t="shared" si="0"/>
        <v>828.66666666666663</v>
      </c>
    </row>
    <row r="38" spans="1:3" x14ac:dyDescent="0.3">
      <c r="A38" s="3">
        <v>45590</v>
      </c>
      <c r="B38">
        <v>1723</v>
      </c>
      <c r="C38" s="9">
        <f t="shared" si="0"/>
        <v>879</v>
      </c>
    </row>
    <row r="39" spans="1:3" x14ac:dyDescent="0.3">
      <c r="A39" s="3">
        <v>45594</v>
      </c>
      <c r="B39">
        <v>965</v>
      </c>
      <c r="C39" s="9">
        <f t="shared" si="0"/>
        <v>1256</v>
      </c>
    </row>
    <row r="40" spans="1:3" x14ac:dyDescent="0.3">
      <c r="A40" s="3">
        <v>45598</v>
      </c>
      <c r="B40">
        <v>1375</v>
      </c>
      <c r="C40" s="9">
        <f t="shared" si="0"/>
        <v>1354.3333333333333</v>
      </c>
    </row>
    <row r="41" spans="1:3" x14ac:dyDescent="0.3">
      <c r="A41" s="3">
        <v>45602</v>
      </c>
      <c r="B41">
        <v>1315</v>
      </c>
      <c r="C41" s="9">
        <f t="shared" si="0"/>
        <v>1218.3333333333333</v>
      </c>
    </row>
    <row r="42" spans="1:3" x14ac:dyDescent="0.3">
      <c r="A42" s="3">
        <v>45606</v>
      </c>
      <c r="B42">
        <v>212</v>
      </c>
      <c r="C42" s="9">
        <f t="shared" si="0"/>
        <v>967.33333333333337</v>
      </c>
    </row>
    <row r="43" spans="1:3" x14ac:dyDescent="0.3">
      <c r="A43" s="3">
        <v>45610</v>
      </c>
      <c r="B43">
        <v>680</v>
      </c>
      <c r="C43" s="9">
        <f t="shared" si="0"/>
        <v>735.66666666666663</v>
      </c>
    </row>
    <row r="44" spans="1:3" x14ac:dyDescent="0.3">
      <c r="A44" s="3">
        <v>45614</v>
      </c>
      <c r="B44">
        <v>461</v>
      </c>
      <c r="C44" s="9">
        <f t="shared" si="0"/>
        <v>451</v>
      </c>
    </row>
    <row r="45" spans="1:3" x14ac:dyDescent="0.3">
      <c r="A45" s="3">
        <v>45618</v>
      </c>
      <c r="B45">
        <v>641</v>
      </c>
      <c r="C45" s="9">
        <f t="shared" si="0"/>
        <v>594</v>
      </c>
    </row>
    <row r="46" spans="1:3" x14ac:dyDescent="0.3">
      <c r="A46" s="3">
        <v>45622</v>
      </c>
      <c r="B46">
        <v>167</v>
      </c>
      <c r="C46" s="9">
        <f t="shared" si="0"/>
        <v>423</v>
      </c>
    </row>
    <row r="47" spans="1:3" x14ac:dyDescent="0.3">
      <c r="A47" s="3">
        <v>45626</v>
      </c>
      <c r="B47">
        <v>-160</v>
      </c>
      <c r="C47" s="9">
        <f t="shared" si="0"/>
        <v>216</v>
      </c>
    </row>
    <row r="48" spans="1:3" x14ac:dyDescent="0.3">
      <c r="A48" s="3">
        <v>45630</v>
      </c>
      <c r="B48">
        <v>603</v>
      </c>
      <c r="C48" s="9">
        <f t="shared" si="0"/>
        <v>203.33333333333334</v>
      </c>
    </row>
    <row r="49" spans="1:3" x14ac:dyDescent="0.3">
      <c r="A49" s="3">
        <v>45634</v>
      </c>
      <c r="B49">
        <v>1539</v>
      </c>
      <c r="C49" s="9">
        <f t="shared" si="0"/>
        <v>660.66666666666663</v>
      </c>
    </row>
    <row r="50" spans="1:3" x14ac:dyDescent="0.3">
      <c r="A50" s="3">
        <v>45638</v>
      </c>
      <c r="B50">
        <v>1881</v>
      </c>
      <c r="C50" s="9">
        <f t="shared" si="0"/>
        <v>1341</v>
      </c>
    </row>
    <row r="51" spans="1:3" x14ac:dyDescent="0.3">
      <c r="A51" s="3">
        <v>45642</v>
      </c>
      <c r="B51">
        <v>1656</v>
      </c>
      <c r="C51" s="9">
        <f t="shared" si="0"/>
        <v>1692</v>
      </c>
    </row>
    <row r="52" spans="1:3" x14ac:dyDescent="0.3">
      <c r="A52" s="3"/>
    </row>
    <row r="53" spans="1:3" x14ac:dyDescent="0.3">
      <c r="A53" s="3"/>
    </row>
    <row r="54" spans="1:3" x14ac:dyDescent="0.3">
      <c r="A54" s="3"/>
    </row>
    <row r="55" spans="1:3" x14ac:dyDescent="0.3">
      <c r="A55" s="3"/>
    </row>
    <row r="56" spans="1:3" x14ac:dyDescent="0.3">
      <c r="A56" s="3"/>
    </row>
    <row r="57" spans="1:3" x14ac:dyDescent="0.3">
      <c r="A57" s="3"/>
    </row>
    <row r="58" spans="1:3" x14ac:dyDescent="0.3">
      <c r="A58" s="3"/>
    </row>
    <row r="59" spans="1:3" x14ac:dyDescent="0.3">
      <c r="A59" s="3"/>
    </row>
    <row r="60" spans="1:3" x14ac:dyDescent="0.3">
      <c r="A60" s="3"/>
    </row>
    <row r="61" spans="1:3" x14ac:dyDescent="0.3">
      <c r="A61" s="3"/>
    </row>
    <row r="62" spans="1:3" x14ac:dyDescent="0.3">
      <c r="A62" s="3"/>
    </row>
    <row r="63" spans="1:3" x14ac:dyDescent="0.3">
      <c r="A63" s="3"/>
    </row>
    <row r="64" spans="1:3" x14ac:dyDescent="0.3">
      <c r="A64" s="3"/>
    </row>
    <row r="65" spans="1:1" x14ac:dyDescent="0.3">
      <c r="A65" s="3"/>
    </row>
    <row r="66" spans="1:1" x14ac:dyDescent="0.3">
      <c r="A66" s="3"/>
    </row>
    <row r="67" spans="1:1" x14ac:dyDescent="0.3">
      <c r="A67" s="3"/>
    </row>
    <row r="68" spans="1:1" x14ac:dyDescent="0.3">
      <c r="A68" s="3"/>
    </row>
    <row r="69" spans="1:1" x14ac:dyDescent="0.3">
      <c r="A69" s="3"/>
    </row>
    <row r="70" spans="1:1" x14ac:dyDescent="0.3">
      <c r="A70" s="3"/>
    </row>
    <row r="71" spans="1:1" x14ac:dyDescent="0.3">
      <c r="A71" s="3"/>
    </row>
    <row r="72" spans="1:1" x14ac:dyDescent="0.3">
      <c r="A72" s="3"/>
    </row>
    <row r="73" spans="1:1" x14ac:dyDescent="0.3">
      <c r="A73" s="3"/>
    </row>
    <row r="74" spans="1:1" x14ac:dyDescent="0.3">
      <c r="A74" s="3"/>
    </row>
    <row r="75" spans="1:1" x14ac:dyDescent="0.3">
      <c r="A75" s="3"/>
    </row>
    <row r="76" spans="1:1" x14ac:dyDescent="0.3">
      <c r="A76" s="3"/>
    </row>
    <row r="77" spans="1:1" x14ac:dyDescent="0.3">
      <c r="A77" s="3"/>
    </row>
    <row r="78" spans="1:1" x14ac:dyDescent="0.3">
      <c r="A78" s="3"/>
    </row>
    <row r="79" spans="1:1" x14ac:dyDescent="0.3">
      <c r="A79" s="3"/>
    </row>
    <row r="80" spans="1:1" x14ac:dyDescent="0.3">
      <c r="A80" s="3"/>
    </row>
    <row r="81" spans="1:1" x14ac:dyDescent="0.3">
      <c r="A81" s="3"/>
    </row>
    <row r="82" spans="1:1" x14ac:dyDescent="0.3">
      <c r="A82" s="3"/>
    </row>
    <row r="83" spans="1:1" x14ac:dyDescent="0.3">
      <c r="A83" s="3"/>
    </row>
    <row r="84" spans="1:1" x14ac:dyDescent="0.3">
      <c r="A84" s="3"/>
    </row>
    <row r="85" spans="1:1" x14ac:dyDescent="0.3">
      <c r="A85" s="3"/>
    </row>
    <row r="86" spans="1:1" x14ac:dyDescent="0.3">
      <c r="A86" s="3"/>
    </row>
    <row r="87" spans="1:1" x14ac:dyDescent="0.3">
      <c r="A87" s="3"/>
    </row>
    <row r="88" spans="1:1" x14ac:dyDescent="0.3">
      <c r="A88" s="3"/>
    </row>
    <row r="89" spans="1:1" x14ac:dyDescent="0.3">
      <c r="A89" s="3"/>
    </row>
    <row r="90" spans="1:1" x14ac:dyDescent="0.3">
      <c r="A90" s="3"/>
    </row>
    <row r="91" spans="1:1" x14ac:dyDescent="0.3">
      <c r="A91" s="3"/>
    </row>
    <row r="92" spans="1:1" x14ac:dyDescent="0.3">
      <c r="A92" s="3"/>
    </row>
    <row r="93" spans="1:1" x14ac:dyDescent="0.3">
      <c r="A93" s="3"/>
    </row>
    <row r="94" spans="1:1" x14ac:dyDescent="0.3">
      <c r="A94" s="3"/>
    </row>
    <row r="95" spans="1:1" x14ac:dyDescent="0.3">
      <c r="A95" s="3"/>
    </row>
    <row r="96" spans="1:1" x14ac:dyDescent="0.3">
      <c r="A96" s="3"/>
    </row>
    <row r="97" spans="1:1" x14ac:dyDescent="0.3">
      <c r="A97" s="3"/>
    </row>
    <row r="98" spans="1:1" x14ac:dyDescent="0.3">
      <c r="A98" s="3"/>
    </row>
    <row r="99" spans="1:1" x14ac:dyDescent="0.3">
      <c r="A99" s="3"/>
    </row>
    <row r="100" spans="1:1" x14ac:dyDescent="0.3">
      <c r="A100" s="3"/>
    </row>
    <row r="101" spans="1:1" x14ac:dyDescent="0.3">
      <c r="A101" s="3"/>
    </row>
    <row r="102" spans="1:1" x14ac:dyDescent="0.3">
      <c r="A102" s="3"/>
    </row>
    <row r="103" spans="1:1" x14ac:dyDescent="0.3">
      <c r="A103" s="3"/>
    </row>
    <row r="104" spans="1:1" x14ac:dyDescent="0.3">
      <c r="A104" s="3"/>
    </row>
    <row r="105" spans="1:1" x14ac:dyDescent="0.3">
      <c r="A105" s="3"/>
    </row>
    <row r="106" spans="1:1" x14ac:dyDescent="0.3">
      <c r="A106" s="3"/>
    </row>
    <row r="107" spans="1:1" x14ac:dyDescent="0.3">
      <c r="A107" s="3"/>
    </row>
    <row r="108" spans="1:1" x14ac:dyDescent="0.3">
      <c r="A108" s="3"/>
    </row>
    <row r="109" spans="1:1" x14ac:dyDescent="0.3">
      <c r="A109" s="3"/>
    </row>
    <row r="110" spans="1:1" x14ac:dyDescent="0.3">
      <c r="A110" s="3"/>
    </row>
    <row r="111" spans="1:1" x14ac:dyDescent="0.3">
      <c r="A111" s="3"/>
    </row>
    <row r="112" spans="1:1" x14ac:dyDescent="0.3">
      <c r="A112" s="3"/>
    </row>
    <row r="113" spans="1:1" x14ac:dyDescent="0.3">
      <c r="A113" s="3"/>
    </row>
    <row r="114" spans="1:1" x14ac:dyDescent="0.3">
      <c r="A114" s="3"/>
    </row>
    <row r="115" spans="1:1" x14ac:dyDescent="0.3">
      <c r="A115" s="3"/>
    </row>
    <row r="116" spans="1:1" x14ac:dyDescent="0.3">
      <c r="A116" s="3"/>
    </row>
    <row r="117" spans="1:1" x14ac:dyDescent="0.3">
      <c r="A117" s="3"/>
    </row>
    <row r="118" spans="1:1" x14ac:dyDescent="0.3">
      <c r="A118" s="3"/>
    </row>
    <row r="119" spans="1:1" x14ac:dyDescent="0.3">
      <c r="A119" s="3"/>
    </row>
    <row r="120" spans="1:1" x14ac:dyDescent="0.3">
      <c r="A120" s="3"/>
    </row>
    <row r="121" spans="1:1" x14ac:dyDescent="0.3">
      <c r="A121" s="3"/>
    </row>
    <row r="122" spans="1:1" x14ac:dyDescent="0.3">
      <c r="A122" s="3"/>
    </row>
    <row r="123" spans="1:1" x14ac:dyDescent="0.3">
      <c r="A123" s="3"/>
    </row>
    <row r="124" spans="1:1" x14ac:dyDescent="0.3">
      <c r="A124" s="3"/>
    </row>
    <row r="125" spans="1:1" x14ac:dyDescent="0.3">
      <c r="A125" s="3"/>
    </row>
    <row r="126" spans="1:1" x14ac:dyDescent="0.3">
      <c r="A126" s="3"/>
    </row>
    <row r="127" spans="1:1" x14ac:dyDescent="0.3">
      <c r="A127" s="3"/>
    </row>
    <row r="128" spans="1:1" x14ac:dyDescent="0.3">
      <c r="A128" s="3"/>
    </row>
    <row r="129" spans="1:1" x14ac:dyDescent="0.3">
      <c r="A129" s="3"/>
    </row>
    <row r="130" spans="1:1" x14ac:dyDescent="0.3">
      <c r="A130" s="3"/>
    </row>
    <row r="131" spans="1:1" x14ac:dyDescent="0.3">
      <c r="A131" s="3"/>
    </row>
    <row r="132" spans="1:1" x14ac:dyDescent="0.3">
      <c r="A132" s="3"/>
    </row>
    <row r="133" spans="1:1" x14ac:dyDescent="0.3">
      <c r="A133" s="3"/>
    </row>
    <row r="134" spans="1:1" x14ac:dyDescent="0.3">
      <c r="A134" s="3"/>
    </row>
    <row r="135" spans="1:1" x14ac:dyDescent="0.3">
      <c r="A135" s="3"/>
    </row>
    <row r="136" spans="1:1" x14ac:dyDescent="0.3">
      <c r="A136" s="3"/>
    </row>
    <row r="137" spans="1:1" x14ac:dyDescent="0.3">
      <c r="A137" s="3"/>
    </row>
    <row r="138" spans="1:1" x14ac:dyDescent="0.3">
      <c r="A138" s="3"/>
    </row>
    <row r="139" spans="1:1" x14ac:dyDescent="0.3">
      <c r="A139" s="3"/>
    </row>
    <row r="140" spans="1:1" x14ac:dyDescent="0.3">
      <c r="A140" s="3"/>
    </row>
    <row r="141" spans="1:1" x14ac:dyDescent="0.3">
      <c r="A141" s="3"/>
    </row>
    <row r="142" spans="1:1" x14ac:dyDescent="0.3">
      <c r="A142" s="3"/>
    </row>
    <row r="143" spans="1:1" x14ac:dyDescent="0.3">
      <c r="A143" s="3"/>
    </row>
    <row r="144" spans="1:1" x14ac:dyDescent="0.3">
      <c r="A144" s="3"/>
    </row>
    <row r="145" spans="1:1" x14ac:dyDescent="0.3">
      <c r="A145" s="3"/>
    </row>
    <row r="146" spans="1:1" x14ac:dyDescent="0.3">
      <c r="A146" s="3"/>
    </row>
    <row r="147" spans="1:1" x14ac:dyDescent="0.3">
      <c r="A147" s="3"/>
    </row>
    <row r="148" spans="1:1" x14ac:dyDescent="0.3">
      <c r="A148" s="3"/>
    </row>
    <row r="149" spans="1:1" x14ac:dyDescent="0.3">
      <c r="A149" s="3"/>
    </row>
    <row r="150" spans="1:1" x14ac:dyDescent="0.3">
      <c r="A150" s="3"/>
    </row>
    <row r="151" spans="1:1" x14ac:dyDescent="0.3">
      <c r="A151" s="3"/>
    </row>
    <row r="152" spans="1:1" x14ac:dyDescent="0.3">
      <c r="A152" s="3"/>
    </row>
    <row r="153" spans="1:1" x14ac:dyDescent="0.3">
      <c r="A153" s="3"/>
    </row>
    <row r="154" spans="1:1" x14ac:dyDescent="0.3">
      <c r="A154" s="3"/>
    </row>
    <row r="155" spans="1:1" x14ac:dyDescent="0.3">
      <c r="A155" s="3"/>
    </row>
    <row r="156" spans="1:1" x14ac:dyDescent="0.3">
      <c r="A156" s="3"/>
    </row>
    <row r="157" spans="1:1" x14ac:dyDescent="0.3">
      <c r="A157" s="3"/>
    </row>
    <row r="158" spans="1:1" x14ac:dyDescent="0.3">
      <c r="A158" s="3"/>
    </row>
    <row r="159" spans="1:1" x14ac:dyDescent="0.3">
      <c r="A159" s="3"/>
    </row>
    <row r="160" spans="1:1" x14ac:dyDescent="0.3">
      <c r="A160" s="3"/>
    </row>
    <row r="161" spans="1:1" x14ac:dyDescent="0.3">
      <c r="A161" s="3"/>
    </row>
    <row r="162" spans="1:1" x14ac:dyDescent="0.3">
      <c r="A162" s="3"/>
    </row>
    <row r="163" spans="1:1" x14ac:dyDescent="0.3">
      <c r="A163" s="3"/>
    </row>
    <row r="164" spans="1:1" x14ac:dyDescent="0.3">
      <c r="A164" s="3"/>
    </row>
    <row r="165" spans="1:1" x14ac:dyDescent="0.3">
      <c r="A165" s="3"/>
    </row>
    <row r="166" spans="1:1" x14ac:dyDescent="0.3">
      <c r="A166" s="3"/>
    </row>
    <row r="167" spans="1:1" x14ac:dyDescent="0.3">
      <c r="A167" s="3"/>
    </row>
    <row r="168" spans="1:1" x14ac:dyDescent="0.3">
      <c r="A168" s="3"/>
    </row>
    <row r="169" spans="1:1" x14ac:dyDescent="0.3">
      <c r="A169" s="3"/>
    </row>
    <row r="170" spans="1:1" x14ac:dyDescent="0.3">
      <c r="A170" s="3"/>
    </row>
    <row r="171" spans="1:1" x14ac:dyDescent="0.3">
      <c r="A171" s="3"/>
    </row>
    <row r="172" spans="1:1" x14ac:dyDescent="0.3">
      <c r="A172" s="3"/>
    </row>
    <row r="173" spans="1:1" x14ac:dyDescent="0.3">
      <c r="A173" s="3"/>
    </row>
    <row r="174" spans="1:1" x14ac:dyDescent="0.3">
      <c r="A174" s="3"/>
    </row>
    <row r="175" spans="1:1" x14ac:dyDescent="0.3">
      <c r="A175" s="3"/>
    </row>
    <row r="176" spans="1:1" x14ac:dyDescent="0.3">
      <c r="A176" s="3"/>
    </row>
    <row r="177" spans="1:1" x14ac:dyDescent="0.3">
      <c r="A177" s="3"/>
    </row>
    <row r="178" spans="1:1" x14ac:dyDescent="0.3">
      <c r="A178" s="3"/>
    </row>
    <row r="179" spans="1:1" x14ac:dyDescent="0.3">
      <c r="A179" s="3"/>
    </row>
    <row r="180" spans="1:1" x14ac:dyDescent="0.3">
      <c r="A180" s="3"/>
    </row>
    <row r="181" spans="1:1" x14ac:dyDescent="0.3">
      <c r="A181" s="3"/>
    </row>
    <row r="182" spans="1:1" x14ac:dyDescent="0.3">
      <c r="A182" s="3"/>
    </row>
    <row r="183" spans="1:1" x14ac:dyDescent="0.3">
      <c r="A183" s="3"/>
    </row>
    <row r="184" spans="1:1" x14ac:dyDescent="0.3">
      <c r="A184" s="3"/>
    </row>
    <row r="185" spans="1:1" x14ac:dyDescent="0.3">
      <c r="A185" s="3"/>
    </row>
    <row r="186" spans="1:1" x14ac:dyDescent="0.3">
      <c r="A186" s="3"/>
    </row>
    <row r="187" spans="1:1" x14ac:dyDescent="0.3">
      <c r="A187" s="3"/>
    </row>
    <row r="188" spans="1:1" x14ac:dyDescent="0.3">
      <c r="A188" s="3"/>
    </row>
    <row r="189" spans="1:1" x14ac:dyDescent="0.3">
      <c r="A189" s="3"/>
    </row>
    <row r="190" spans="1:1" x14ac:dyDescent="0.3">
      <c r="A190" s="3"/>
    </row>
    <row r="191" spans="1:1" x14ac:dyDescent="0.3">
      <c r="A191" s="3"/>
    </row>
    <row r="192" spans="1:1" x14ac:dyDescent="0.3">
      <c r="A192" s="3"/>
    </row>
    <row r="193" spans="1:1" x14ac:dyDescent="0.3">
      <c r="A193" s="3"/>
    </row>
    <row r="194" spans="1:1" x14ac:dyDescent="0.3">
      <c r="A194" s="3"/>
    </row>
    <row r="195" spans="1:1" x14ac:dyDescent="0.3">
      <c r="A195" s="3"/>
    </row>
    <row r="196" spans="1:1" x14ac:dyDescent="0.3">
      <c r="A196" s="3"/>
    </row>
    <row r="197" spans="1:1" x14ac:dyDescent="0.3">
      <c r="A197" s="3"/>
    </row>
    <row r="198" spans="1:1" x14ac:dyDescent="0.3">
      <c r="A198" s="3"/>
    </row>
    <row r="199" spans="1:1" x14ac:dyDescent="0.3">
      <c r="A199" s="3"/>
    </row>
    <row r="200" spans="1:1" x14ac:dyDescent="0.3">
      <c r="A200" s="3"/>
    </row>
    <row r="201" spans="1:1" x14ac:dyDescent="0.3">
      <c r="A201" s="3"/>
    </row>
  </sheetData>
  <sortState xmlns:xlrd2="http://schemas.microsoft.com/office/spreadsheetml/2017/richdata2" ref="A2:B51">
    <sortCondition ref="A2:A51"/>
  </sortState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2F277-EC89-4021-92AE-632534260029}">
  <dimension ref="A1:A11"/>
  <sheetViews>
    <sheetView workbookViewId="0">
      <selection activeCell="M15" sqref="M15"/>
    </sheetView>
  </sheetViews>
  <sheetFormatPr defaultRowHeight="14.4" x14ac:dyDescent="0.3"/>
  <sheetData>
    <row r="1" spans="1:1" x14ac:dyDescent="0.3">
      <c r="A1" t="s">
        <v>26</v>
      </c>
    </row>
    <row r="3" spans="1:1" x14ac:dyDescent="0.3">
      <c r="A3" t="s">
        <v>27</v>
      </c>
    </row>
    <row r="5" spans="1:1" x14ac:dyDescent="0.3">
      <c r="A5" t="s">
        <v>28</v>
      </c>
    </row>
    <row r="7" spans="1:1" x14ac:dyDescent="0.3">
      <c r="A7" t="s">
        <v>29</v>
      </c>
    </row>
    <row r="9" spans="1:1" x14ac:dyDescent="0.3">
      <c r="A9" t="s">
        <v>30</v>
      </c>
    </row>
    <row r="11" spans="1:1" x14ac:dyDescent="0.3">
      <c r="A1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Raw_Engagement</vt:lpstr>
      <vt:lpstr>Cleaned_Engagement</vt:lpstr>
      <vt:lpstr>Weekly_Growth_Pivot</vt:lpstr>
      <vt:lpstr>Moving_Average_Analysis</vt:lpstr>
      <vt:lpstr>Insight_Task6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Sriharsha Reddy</dc:creator>
  <cp:lastModifiedBy>Mani DM</cp:lastModifiedBy>
  <dcterms:created xsi:type="dcterms:W3CDTF">2026-01-10T07:08:03Z</dcterms:created>
  <dcterms:modified xsi:type="dcterms:W3CDTF">2026-01-11T09:24:23Z</dcterms:modified>
</cp:coreProperties>
</file>