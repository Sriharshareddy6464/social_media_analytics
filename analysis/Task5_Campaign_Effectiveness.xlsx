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epsiCo_Social_Media_Analysis_Project\MS Excel Project\"/>
    </mc:Choice>
  </mc:AlternateContent>
  <xr:revisionPtr revIDLastSave="0" documentId="13_ncr:1_{E869CE6E-66E7-4E2C-ADFE-28DE80DCD317}" xr6:coauthVersionLast="47" xr6:coauthVersionMax="47" xr10:uidLastSave="{00000000-0000-0000-0000-000000000000}"/>
  <bookViews>
    <workbookView xWindow="-100" yWindow="-100" windowWidth="21467" windowHeight="11443" firstSheet="5" activeTab="5" xr2:uid="{FF00BE75-443E-403D-BE21-769A286A265E}"/>
  </bookViews>
  <sheets>
    <sheet name="Raw_Posts" sheetId="9" r:id="rId1"/>
    <sheet name="Cleaned_Posts " sheetId="8" r:id="rId2"/>
    <sheet name="Cleaned_Engagement" sheetId="14" r:id="rId3"/>
    <sheet name="Raw_Campaign_Data" sheetId="1" r:id="rId4"/>
    <sheet name="Cleaned_Campaign_Data" sheetId="2" r:id="rId5"/>
    <sheet name="Campaign_Performance" sheetId="3" r:id="rId6"/>
    <sheet name="Campaign_Metrics_Summary" sheetId="6" r:id="rId7"/>
    <sheet name="Campaign_Uplift_Analysis" sheetId="10" r:id="rId8"/>
    <sheet name="ROI_Analysis" sheetId="4" r:id="rId9"/>
    <sheet name="Follower_Growth_Impact" sheetId="15" r:id="rId10"/>
    <sheet name="Insights_Task5" sheetId="5" r:id="rId11"/>
  </sheet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4" l="1" a="1"/>
  <c r="I3" i="14" s="1"/>
  <c r="I4" i="14" a="1"/>
  <c r="I4" i="14" s="1"/>
  <c r="I5" i="14" a="1"/>
  <c r="I5" i="14" s="1"/>
  <c r="I6" i="14" a="1"/>
  <c r="I6" i="14" s="1"/>
  <c r="I7" i="14" a="1"/>
  <c r="I7" i="14" s="1"/>
  <c r="I8" i="14" a="1"/>
  <c r="I8" i="14" s="1"/>
  <c r="I9" i="14" a="1"/>
  <c r="I9" i="14" s="1"/>
  <c r="I10" i="14" a="1"/>
  <c r="I10" i="14" s="1"/>
  <c r="I11" i="14" a="1"/>
  <c r="I11" i="14" s="1"/>
  <c r="I12" i="14" a="1"/>
  <c r="I12" i="14" s="1"/>
  <c r="I13" i="14" a="1"/>
  <c r="I13" i="14" s="1"/>
  <c r="I14" i="14" a="1"/>
  <c r="I14" i="14" s="1"/>
  <c r="I15" i="14" a="1"/>
  <c r="I15" i="14" s="1"/>
  <c r="I16" i="14" a="1"/>
  <c r="I16" i="14" s="1"/>
  <c r="I17" i="14" a="1"/>
  <c r="I17" i="14" s="1"/>
  <c r="I18" i="14" a="1"/>
  <c r="I18" i="14" s="1"/>
  <c r="I19" i="14" a="1"/>
  <c r="I19" i="14" s="1"/>
  <c r="I20" i="14" a="1"/>
  <c r="I20" i="14" s="1"/>
  <c r="I21" i="14" a="1"/>
  <c r="I21" i="14" s="1"/>
  <c r="I22" i="14" a="1"/>
  <c r="I22" i="14" s="1"/>
  <c r="I23" i="14" a="1"/>
  <c r="I23" i="14" s="1"/>
  <c r="I24" i="14" a="1"/>
  <c r="I24" i="14" s="1"/>
  <c r="I25" i="14" a="1"/>
  <c r="I25" i="14" s="1"/>
  <c r="I26" i="14" a="1"/>
  <c r="I26" i="14" s="1"/>
  <c r="I27" i="14" a="1"/>
  <c r="I27" i="14" s="1"/>
  <c r="I28" i="14" a="1"/>
  <c r="I28" i="14" s="1"/>
  <c r="I29" i="14" a="1"/>
  <c r="I29" i="14" s="1"/>
  <c r="I30" i="14" a="1"/>
  <c r="I30" i="14" s="1"/>
  <c r="I31" i="14" a="1"/>
  <c r="I31" i="14" s="1"/>
  <c r="I32" i="14" a="1"/>
  <c r="I32" i="14" s="1"/>
  <c r="I33" i="14" a="1"/>
  <c r="I33" i="14" s="1"/>
  <c r="I34" i="14" a="1"/>
  <c r="I34" i="14" s="1"/>
  <c r="I35" i="14" a="1"/>
  <c r="I35" i="14" s="1"/>
  <c r="I36" i="14" a="1"/>
  <c r="I36" i="14" s="1"/>
  <c r="I37" i="14" a="1"/>
  <c r="I37" i="14" s="1"/>
  <c r="I38" i="14" a="1"/>
  <c r="I38" i="14" s="1"/>
  <c r="I39" i="14" a="1"/>
  <c r="I39" i="14" s="1"/>
  <c r="I40" i="14" a="1"/>
  <c r="I40" i="14" s="1"/>
  <c r="I41" i="14" a="1"/>
  <c r="I41" i="14" s="1"/>
  <c r="I42" i="14" a="1"/>
  <c r="I42" i="14" s="1"/>
  <c r="I43" i="14" a="1"/>
  <c r="I43" i="14" s="1"/>
  <c r="I44" i="14" a="1"/>
  <c r="I44" i="14" s="1"/>
  <c r="I45" i="14" a="1"/>
  <c r="I45" i="14" s="1"/>
  <c r="I46" i="14" a="1"/>
  <c r="I46" i="14" s="1"/>
  <c r="I47" i="14" a="1"/>
  <c r="I47" i="14" s="1"/>
  <c r="I48" i="14" a="1"/>
  <c r="I48" i="14" s="1"/>
  <c r="I49" i="14" a="1"/>
  <c r="I49" i="14" s="1"/>
  <c r="I50" i="14" a="1"/>
  <c r="I50" i="14" s="1"/>
  <c r="I51" i="14" a="1"/>
  <c r="I51" i="14" s="1"/>
  <c r="I52" i="14" a="1"/>
  <c r="I52" i="14" s="1"/>
  <c r="I53" i="14" a="1"/>
  <c r="I53" i="14" s="1"/>
  <c r="I54" i="14" a="1"/>
  <c r="I54" i="14" s="1"/>
  <c r="I55" i="14" a="1"/>
  <c r="I55" i="14" s="1"/>
  <c r="I56" i="14" a="1"/>
  <c r="I56" i="14" s="1"/>
  <c r="I57" i="14" a="1"/>
  <c r="I57" i="14" s="1"/>
  <c r="I58" i="14" a="1"/>
  <c r="I58" i="14" s="1"/>
  <c r="I59" i="14" a="1"/>
  <c r="I59" i="14" s="1"/>
  <c r="I60" i="14" a="1"/>
  <c r="I60" i="14" s="1"/>
  <c r="I61" i="14" a="1"/>
  <c r="I61" i="14" s="1"/>
  <c r="I62" i="14" a="1"/>
  <c r="I62" i="14" s="1"/>
  <c r="I63" i="14" a="1"/>
  <c r="I63" i="14" s="1"/>
  <c r="I64" i="14" a="1"/>
  <c r="I64" i="14" s="1"/>
  <c r="I65" i="14" a="1"/>
  <c r="I65" i="14" s="1"/>
  <c r="I66" i="14" a="1"/>
  <c r="I66" i="14" s="1"/>
  <c r="I67" i="14" a="1"/>
  <c r="I67" i="14" s="1"/>
  <c r="I68" i="14" a="1"/>
  <c r="I68" i="14" s="1"/>
  <c r="I69" i="14" a="1"/>
  <c r="I69" i="14" s="1"/>
  <c r="I70" i="14" a="1"/>
  <c r="I70" i="14" s="1"/>
  <c r="I71" i="14" a="1"/>
  <c r="I71" i="14" s="1"/>
  <c r="I72" i="14" a="1"/>
  <c r="I72" i="14" s="1"/>
  <c r="I73" i="14" a="1"/>
  <c r="I73" i="14" s="1"/>
  <c r="I74" i="14" a="1"/>
  <c r="I74" i="14" s="1"/>
  <c r="I75" i="14" a="1"/>
  <c r="I75" i="14" s="1"/>
  <c r="I76" i="14" a="1"/>
  <c r="I76" i="14" s="1"/>
  <c r="I77" i="14" a="1"/>
  <c r="I77" i="14" s="1"/>
  <c r="I78" i="14" a="1"/>
  <c r="I78" i="14" s="1"/>
  <c r="I79" i="14" a="1"/>
  <c r="I79" i="14" s="1"/>
  <c r="I80" i="14" a="1"/>
  <c r="I80" i="14" s="1"/>
  <c r="I81" i="14" a="1"/>
  <c r="I81" i="14" s="1"/>
  <c r="I82" i="14" a="1"/>
  <c r="I82" i="14" s="1"/>
  <c r="I83" i="14" a="1"/>
  <c r="I83" i="14" s="1"/>
  <c r="I84" i="14" a="1"/>
  <c r="I84" i="14" s="1"/>
  <c r="I85" i="14" a="1"/>
  <c r="I85" i="14" s="1"/>
  <c r="I86" i="14" a="1"/>
  <c r="I86" i="14" s="1"/>
  <c r="I87" i="14" a="1"/>
  <c r="I87" i="14" s="1"/>
  <c r="I88" i="14" a="1"/>
  <c r="I88" i="14" s="1"/>
  <c r="I89" i="14" a="1"/>
  <c r="I89" i="14" s="1"/>
  <c r="I90" i="14" a="1"/>
  <c r="I90" i="14" s="1"/>
  <c r="I91" i="14" a="1"/>
  <c r="I91" i="14" s="1"/>
  <c r="I92" i="14" a="1"/>
  <c r="I92" i="14" s="1"/>
  <c r="I93" i="14" a="1"/>
  <c r="I93" i="14" s="1"/>
  <c r="I94" i="14" a="1"/>
  <c r="I94" i="14" s="1"/>
  <c r="I95" i="14" a="1"/>
  <c r="I95" i="14" s="1"/>
  <c r="I96" i="14" a="1"/>
  <c r="I96" i="14" s="1"/>
  <c r="I97" i="14" a="1"/>
  <c r="I97" i="14" s="1"/>
  <c r="I98" i="14" a="1"/>
  <c r="I98" i="14" s="1"/>
  <c r="I99" i="14" a="1"/>
  <c r="I99" i="14" s="1"/>
  <c r="I100" i="14" a="1"/>
  <c r="I100" i="14" s="1"/>
  <c r="I101" i="14" a="1"/>
  <c r="I101" i="14" s="1"/>
  <c r="I102" i="14" a="1"/>
  <c r="I102" i="14" s="1"/>
  <c r="I103" i="14" a="1"/>
  <c r="I103" i="14" s="1"/>
  <c r="I104" i="14" a="1"/>
  <c r="I104" i="14" s="1"/>
  <c r="I105" i="14" a="1"/>
  <c r="I105" i="14" s="1"/>
  <c r="I106" i="14" a="1"/>
  <c r="I106" i="14" s="1"/>
  <c r="I107" i="14" a="1"/>
  <c r="I107" i="14" s="1"/>
  <c r="I108" i="14" a="1"/>
  <c r="I108" i="14" s="1"/>
  <c r="I109" i="14" a="1"/>
  <c r="I109" i="14" s="1"/>
  <c r="I110" i="14" a="1"/>
  <c r="I110" i="14" s="1"/>
  <c r="I111" i="14" a="1"/>
  <c r="I111" i="14" s="1"/>
  <c r="I112" i="14" a="1"/>
  <c r="I112" i="14" s="1"/>
  <c r="I113" i="14" a="1"/>
  <c r="I113" i="14" s="1"/>
  <c r="I114" i="14" a="1"/>
  <c r="I114" i="14" s="1"/>
  <c r="I115" i="14" a="1"/>
  <c r="I115" i="14" s="1"/>
  <c r="I116" i="14" a="1"/>
  <c r="I116" i="14" s="1"/>
  <c r="I117" i="14" a="1"/>
  <c r="I117" i="14" s="1"/>
  <c r="I118" i="14" a="1"/>
  <c r="I118" i="14" s="1"/>
  <c r="I119" i="14" a="1"/>
  <c r="I119" i="14" s="1"/>
  <c r="I120" i="14" a="1"/>
  <c r="I120" i="14" s="1"/>
  <c r="I121" i="14" a="1"/>
  <c r="I121" i="14" s="1"/>
  <c r="I122" i="14" a="1"/>
  <c r="I122" i="14" s="1"/>
  <c r="I123" i="14" a="1"/>
  <c r="I123" i="14" s="1"/>
  <c r="I124" i="14" a="1"/>
  <c r="I124" i="14" s="1"/>
  <c r="I125" i="14" a="1"/>
  <c r="I125" i="14" s="1"/>
  <c r="I126" i="14" a="1"/>
  <c r="I126" i="14" s="1"/>
  <c r="I127" i="14" a="1"/>
  <c r="I127" i="14" s="1"/>
  <c r="I128" i="14" a="1"/>
  <c r="I128" i="14" s="1"/>
  <c r="I129" i="14" a="1"/>
  <c r="I129" i="14" s="1"/>
  <c r="I130" i="14" a="1"/>
  <c r="I130" i="14" s="1"/>
  <c r="I131" i="14" a="1"/>
  <c r="I131" i="14" s="1"/>
  <c r="I132" i="14" a="1"/>
  <c r="I132" i="14" s="1"/>
  <c r="I133" i="14" a="1"/>
  <c r="I133" i="14" s="1"/>
  <c r="I134" i="14" a="1"/>
  <c r="I134" i="14" s="1"/>
  <c r="I135" i="14" a="1"/>
  <c r="I135" i="14" s="1"/>
  <c r="I136" i="14" a="1"/>
  <c r="I136" i="14" s="1"/>
  <c r="I137" i="14" a="1"/>
  <c r="I137" i="14" s="1"/>
  <c r="I138" i="14" a="1"/>
  <c r="I138" i="14" s="1"/>
  <c r="I139" i="14" a="1"/>
  <c r="I139" i="14" s="1"/>
  <c r="I140" i="14" a="1"/>
  <c r="I140" i="14" s="1"/>
  <c r="I141" i="14" a="1"/>
  <c r="I141" i="14" s="1"/>
  <c r="I142" i="14" a="1"/>
  <c r="I142" i="14" s="1"/>
  <c r="I143" i="14" a="1"/>
  <c r="I143" i="14" s="1"/>
  <c r="I144" i="14" a="1"/>
  <c r="I144" i="14" s="1"/>
  <c r="I145" i="14" a="1"/>
  <c r="I145" i="14" s="1"/>
  <c r="I146" i="14" a="1"/>
  <c r="I146" i="14" s="1"/>
  <c r="I147" i="14" a="1"/>
  <c r="I147" i="14" s="1"/>
  <c r="I148" i="14" a="1"/>
  <c r="I148" i="14" s="1"/>
  <c r="I149" i="14" a="1"/>
  <c r="I149" i="14" s="1"/>
  <c r="I150" i="14" a="1"/>
  <c r="I150" i="14" s="1"/>
  <c r="I151" i="14" a="1"/>
  <c r="I151" i="14" s="1"/>
  <c r="I152" i="14" a="1"/>
  <c r="I152" i="14" s="1"/>
  <c r="I153" i="14" a="1"/>
  <c r="I153" i="14" s="1"/>
  <c r="I154" i="14" a="1"/>
  <c r="I154" i="14" s="1"/>
  <c r="I155" i="14" a="1"/>
  <c r="I155" i="14" s="1"/>
  <c r="I156" i="14" a="1"/>
  <c r="I156" i="14" s="1"/>
  <c r="I157" i="14" a="1"/>
  <c r="I157" i="14" s="1"/>
  <c r="I158" i="14" a="1"/>
  <c r="I158" i="14" s="1"/>
  <c r="I159" i="14" a="1"/>
  <c r="I159" i="14" s="1"/>
  <c r="I160" i="14" a="1"/>
  <c r="I160" i="14" s="1"/>
  <c r="I161" i="14" a="1"/>
  <c r="I161" i="14" s="1"/>
  <c r="I162" i="14" a="1"/>
  <c r="I162" i="14" s="1"/>
  <c r="I163" i="14" a="1"/>
  <c r="I163" i="14" s="1"/>
  <c r="I164" i="14" a="1"/>
  <c r="I164" i="14" s="1"/>
  <c r="I165" i="14" a="1"/>
  <c r="I165" i="14" s="1"/>
  <c r="I166" i="14" a="1"/>
  <c r="I166" i="14" s="1"/>
  <c r="I167" i="14" a="1"/>
  <c r="I167" i="14" s="1"/>
  <c r="I168" i="14" a="1"/>
  <c r="I168" i="14" s="1"/>
  <c r="I169" i="14" a="1"/>
  <c r="I169" i="14" s="1"/>
  <c r="I170" i="14" a="1"/>
  <c r="I170" i="14" s="1"/>
  <c r="I171" i="14" a="1"/>
  <c r="I171" i="14" s="1"/>
  <c r="I172" i="14" a="1"/>
  <c r="I172" i="14" s="1"/>
  <c r="I173" i="14" a="1"/>
  <c r="I173" i="14" s="1"/>
  <c r="I174" i="14" a="1"/>
  <c r="I174" i="14" s="1"/>
  <c r="I175" i="14" a="1"/>
  <c r="I175" i="14" s="1"/>
  <c r="I176" i="14" a="1"/>
  <c r="I176" i="14" s="1"/>
  <c r="I177" i="14" a="1"/>
  <c r="I177" i="14" s="1"/>
  <c r="I178" i="14" a="1"/>
  <c r="I178" i="14" s="1"/>
  <c r="I179" i="14" a="1"/>
  <c r="I179" i="14" s="1"/>
  <c r="I180" i="14" a="1"/>
  <c r="I180" i="14" s="1"/>
  <c r="I181" i="14" a="1"/>
  <c r="I181" i="14" s="1"/>
  <c r="I182" i="14" a="1"/>
  <c r="I182" i="14" s="1"/>
  <c r="I183" i="14" a="1"/>
  <c r="I183" i="14" s="1"/>
  <c r="I184" i="14" a="1"/>
  <c r="I184" i="14" s="1"/>
  <c r="I185" i="14" a="1"/>
  <c r="I185" i="14" s="1"/>
  <c r="I186" i="14" a="1"/>
  <c r="I186" i="14" s="1"/>
  <c r="I187" i="14" a="1"/>
  <c r="I187" i="14" s="1"/>
  <c r="I188" i="14" a="1"/>
  <c r="I188" i="14" s="1"/>
  <c r="I189" i="14" a="1"/>
  <c r="I189" i="14" s="1"/>
  <c r="I190" i="14" a="1"/>
  <c r="I190" i="14" s="1"/>
  <c r="I191" i="14" a="1"/>
  <c r="I191" i="14" s="1"/>
  <c r="I192" i="14" a="1"/>
  <c r="I192" i="14" s="1"/>
  <c r="I193" i="14" a="1"/>
  <c r="I193" i="14" s="1"/>
  <c r="I194" i="14" a="1"/>
  <c r="I194" i="14" s="1"/>
  <c r="I195" i="14" a="1"/>
  <c r="I195" i="14" s="1"/>
  <c r="I196" i="14" a="1"/>
  <c r="I196" i="14" s="1"/>
  <c r="I197" i="14" a="1"/>
  <c r="I197" i="14" s="1"/>
  <c r="I198" i="14" a="1"/>
  <c r="I198" i="14" s="1"/>
  <c r="I199" i="14" a="1"/>
  <c r="I199" i="14" s="1"/>
  <c r="I200" i="14" a="1"/>
  <c r="I200" i="14" s="1"/>
  <c r="I201" i="14" a="1"/>
  <c r="I201" i="14" s="1"/>
  <c r="I2" i="14" a="1"/>
  <c r="I2" i="14" s="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" i="14"/>
  <c r="F3" i="4"/>
  <c r="F4" i="4"/>
  <c r="F5" i="4"/>
  <c r="F2" i="4"/>
  <c r="E3" i="4"/>
  <c r="E4" i="4"/>
  <c r="E5" i="4"/>
  <c r="E2" i="4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2" i="8"/>
</calcChain>
</file>

<file path=xl/sharedStrings.xml><?xml version="1.0" encoding="utf-8"?>
<sst xmlns="http://schemas.openxmlformats.org/spreadsheetml/2006/main" count="4091" uniqueCount="439">
  <si>
    <t>Campaign_Name</t>
  </si>
  <si>
    <t>Start_Date</t>
  </si>
  <si>
    <t>End_Date</t>
  </si>
  <si>
    <t>Objective</t>
  </si>
  <si>
    <t>Total_Budget</t>
  </si>
  <si>
    <t>Target_Platforms</t>
  </si>
  <si>
    <t>Primary_Hashtags</t>
  </si>
  <si>
    <t>SummerSplash</t>
  </si>
  <si>
    <t>Brand Awareness</t>
  </si>
  <si>
    <t>Instagram,Facebook</t>
  </si>
  <si>
    <t>#ThirstyForMore,#PepsiCoRefresh</t>
  </si>
  <si>
    <t>FestiveRadiance</t>
  </si>
  <si>
    <t>Engagement</t>
  </si>
  <si>
    <t>Instagram,YouTube</t>
  </si>
  <si>
    <t>#AnytimeIsPepsiTime,</t>
  </si>
  <si>
    <t>NewYearRefresh</t>
  </si>
  <si>
    <t>Product Launch</t>
  </si>
  <si>
    <t>Facebook,Twitter</t>
  </si>
  <si>
    <t>#SmoothLikeNitroPepsi</t>
  </si>
  <si>
    <t>DailyWellness</t>
  </si>
  <si>
    <t>Traffic</t>
  </si>
  <si>
    <t>Instagram,Twitter</t>
  </si>
  <si>
    <t>#BetterWithPepsi,#LiveForNow</t>
  </si>
  <si>
    <t>Campaign_ID</t>
  </si>
  <si>
    <t>C001</t>
  </si>
  <si>
    <t>C002</t>
  </si>
  <si>
    <t>C003</t>
  </si>
  <si>
    <t>C004</t>
  </si>
  <si>
    <t>Ad_Spend</t>
  </si>
  <si>
    <t>Instagram</t>
  </si>
  <si>
    <t>Facebook</t>
  </si>
  <si>
    <t>YouTube</t>
  </si>
  <si>
    <t>Twitter</t>
  </si>
  <si>
    <t xml:space="preserve"> Platform_1</t>
  </si>
  <si>
    <t>Platform_2</t>
  </si>
  <si>
    <t>Likes</t>
  </si>
  <si>
    <t>Impressions</t>
  </si>
  <si>
    <t>Clicks</t>
  </si>
  <si>
    <t>Row Labels</t>
  </si>
  <si>
    <t>(blank)</t>
  </si>
  <si>
    <t>Grand Total</t>
  </si>
  <si>
    <t>Sum of Impressions</t>
  </si>
  <si>
    <t>Sum of Likes</t>
  </si>
  <si>
    <t>Sum of Clicks</t>
  </si>
  <si>
    <t>Average of Impressions2</t>
  </si>
  <si>
    <t>Average of Likes2</t>
  </si>
  <si>
    <t>Average of Clicks2</t>
  </si>
  <si>
    <t>Post ID</t>
  </si>
  <si>
    <t>Platform</t>
  </si>
  <si>
    <t>Date</t>
  </si>
  <si>
    <t>Content Type</t>
  </si>
  <si>
    <t>Post Text</t>
  </si>
  <si>
    <t>Shares</t>
  </si>
  <si>
    <t>Comments</t>
  </si>
  <si>
    <t>Reach</t>
  </si>
  <si>
    <t>Hashtags Used</t>
  </si>
  <si>
    <t>P001</t>
  </si>
  <si>
    <t>Reel</t>
  </si>
  <si>
    <t>Check out our latest reel on twitter!</t>
  </si>
  <si>
    <t>#LiveForNow,#AnytimeIsPepsiTime</t>
  </si>
  <si>
    <t>P002</t>
  </si>
  <si>
    <t>Text</t>
  </si>
  <si>
    <t>Check out our latest text on twitter!</t>
  </si>
  <si>
    <t>#PepsiCoRefresh,#BetterWithPepsi</t>
  </si>
  <si>
    <t>P003</t>
  </si>
  <si>
    <t>Check out our latest reel on youtube!</t>
  </si>
  <si>
    <t>#PepsiCoRefresh</t>
  </si>
  <si>
    <t>P004</t>
  </si>
  <si>
    <t>Story</t>
  </si>
  <si>
    <t>Check out our latest story on instagram!</t>
  </si>
  <si>
    <t>#ThirstyForMore</t>
  </si>
  <si>
    <t>P005</t>
  </si>
  <si>
    <t>P006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</si>
  <si>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</si>
  <si>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</si>
  <si>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</si>
  <si>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</si>
  <si>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</si>
  <si>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</si>
  <si>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</si>
  <si>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</si>
  <si>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</si>
  <si>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</si>
  <si>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</si>
  <si>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</si>
  <si>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#LiveForNow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</si>
  <si>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</si>
  <si>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</si>
  <si>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</si>
  <si>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</si>
  <si>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</si>
  <si>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</si>
  <si>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</si>
  <si>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</si>
  <si>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</si>
  <si>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</si>
  <si>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</si>
  <si>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</si>
  <si>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</si>
  <si>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</si>
  <si>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</si>
  <si>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</si>
  <si>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</si>
  <si>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</si>
  <si>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</si>
  <si>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</si>
  <si>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#PepsiCoRefresh,#AnytimeIsPepsiTime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</si>
  <si>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</si>
  <si>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</si>
  <si>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</si>
  <si>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</si>
  <si>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</si>
  <si>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</si>
  <si>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</si>
  <si>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</si>
  <si>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</si>
  <si>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</si>
  <si>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</si>
  <si>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</si>
  <si>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</si>
  <si>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</si>
  <si>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</si>
  <si>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</si>
  <si>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</si>
  <si>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</si>
  <si>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</si>
  <si>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</si>
  <si>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</si>
  <si>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</si>
  <si>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</si>
  <si>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</si>
  <si>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</si>
  <si>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</si>
  <si>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</si>
  <si>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</si>
  <si>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</si>
  <si>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</si>
  <si>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</si>
  <si>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</si>
  <si>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</si>
  <si>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</si>
  <si>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</si>
  <si>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</si>
  <si>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#ThirstyForMore,#BetterWithPepsi</t>
  </si>
  <si>
    <t>P054</t>
  </si>
  <si>
    <t>P055</t>
  </si>
  <si>
    <t>P056</t>
  </si>
  <si>
    <t>P057</t>
  </si>
  <si>
    <t>P058</t>
  </si>
  <si>
    <t>P059</t>
  </si>
  <si>
    <t>P060</t>
  </si>
  <si>
    <t>#ThirstyForMore,#PepsiCoRefresh,#AnytimeIsPepsiTime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</si>
  <si>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</si>
  <si>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</si>
  <si>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</si>
  <si>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</si>
  <si>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</si>
  <si>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</si>
  <si>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</si>
  <si>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</si>
  <si>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</si>
  <si>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</si>
  <si>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</si>
  <si>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</si>
  <si>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</si>
  <si>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</si>
  <si>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</si>
  <si>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</si>
  <si>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</si>
  <si>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</si>
  <si>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</si>
  <si>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</si>
  <si>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</si>
  <si>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</si>
  <si>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</si>
  <si>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#LiveForNow,#PepsiCoRefresh,#AnytimeIsPepsiTime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</si>
  <si>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</si>
  <si>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</si>
  <si>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</si>
  <si>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</si>
  <si>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</si>
  <si>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</si>
  <si>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</si>
  <si>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</si>
  <si>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</si>
  <si>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</si>
  <si>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</si>
  <si>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</si>
  <si>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</si>
  <si>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</si>
  <si>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</si>
  <si>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</si>
  <si>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</si>
  <si>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</si>
  <si>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</si>
  <si>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</si>
  <si>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</si>
  <si>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</si>
  <si>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</si>
  <si>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</si>
  <si>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</si>
  <si>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</si>
  <si>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</si>
  <si>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</si>
  <si>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</si>
  <si>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</si>
  <si>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</si>
  <si>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</si>
  <si>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</si>
  <si>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</si>
  <si>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</si>
  <si>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</si>
  <si>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</si>
  <si>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</si>
  <si>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</si>
  <si>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</si>
  <si>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</si>
  <si>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</si>
  <si>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</si>
  <si>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</si>
  <si>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</si>
  <si>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</si>
  <si>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</si>
  <si>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</si>
  <si>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</si>
  <si>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</si>
  <si>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</si>
  <si>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</si>
  <si>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</si>
  <si>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</si>
  <si>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</si>
  <si>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</si>
  <si>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</si>
  <si>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</si>
  <si>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</si>
  <si>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#ThirstyForMore,#SmoothLikeNitroPepsi</t>
  </si>
  <si>
    <t>P141</t>
  </si>
  <si>
    <t>P142</t>
  </si>
  <si>
    <t>P143</t>
  </si>
  <si>
    <t>P144</t>
  </si>
  <si>
    <t>P145</t>
  </si>
  <si>
    <t>P146</t>
  </si>
  <si>
    <t>#ThirstyForMore,#AnytimeIsPepsiTime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</si>
  <si>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</si>
  <si>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</si>
  <si>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</si>
  <si>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</si>
  <si>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</si>
  <si>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</si>
  <si>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</si>
  <si>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</si>
  <si>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</si>
  <si>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</si>
  <si>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</si>
  <si>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</si>
  <si>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</si>
  <si>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</si>
  <si>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</si>
  <si>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</si>
  <si>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</si>
  <si>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</si>
  <si>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</si>
  <si>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</si>
  <si>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</si>
  <si>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</si>
  <si>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</si>
  <si>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</si>
  <si>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</si>
  <si>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</si>
  <si>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</si>
  <si>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</si>
  <si>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</si>
  <si>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</si>
  <si>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</si>
  <si>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</si>
  <si>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</si>
  <si>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</si>
  <si>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</si>
  <si>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</si>
  <si>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</si>
  <si>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</si>
  <si>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</si>
  <si>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</si>
  <si>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</si>
  <si>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</si>
  <si>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</si>
  <si>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</si>
  <si>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</si>
  <si>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</si>
  <si>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</si>
  <si>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</si>
  <si>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</si>
  <si>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</si>
  <si>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</si>
  <si>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</si>
  <si>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</si>
  <si>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</si>
  <si>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</si>
  <si>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</si>
  <si>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</si>
  <si>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</si>
  <si>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</si>
  <si>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#PepsiCoRefresh,#SmoothLikeNitroPepsi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</si>
  <si>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</si>
  <si>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</si>
  <si>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</si>
  <si>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</si>
  <si>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</si>
  <si>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</si>
  <si>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</si>
  <si>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</si>
  <si>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</si>
  <si>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</si>
  <si>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</si>
  <si>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</si>
  <si>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</si>
  <si>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</si>
  <si>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</si>
  <si>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</si>
  <si>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</si>
  <si>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#LiveForNow,#SmoothLikeNitroPepsi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</si>
  <si>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</si>
  <si>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</si>
  <si>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</si>
  <si>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</si>
  <si>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</si>
  <si>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</si>
  <si>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</si>
  <si>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</si>
  <si>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</si>
  <si>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</si>
  <si>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</si>
  <si>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</si>
  <si>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</si>
  <si>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</si>
  <si>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#LiveForNow,#AnytimeIsPepsiTime,#ThirstyForMore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</si>
  <si>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</si>
  <si>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</si>
  <si>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</si>
  <si>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</si>
  <si>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</si>
  <si>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</si>
  <si>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</si>
  <si>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</si>
  <si>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</si>
  <si>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</si>
  <si>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</si>
  <si>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#LiveForNow,#ThirstyForMore,#BetterWithPepsi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</si>
  <si>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</si>
  <si>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</si>
  <si>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</si>
  <si>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</si>
  <si>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</si>
  <si>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</si>
  <si>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</si>
  <si>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</si>
  <si>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</si>
  <si>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</si>
  <si>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#ThirstyForMore,#ThirstyForMore,#BetterWithPepsi</t>
  </si>
  <si>
    <t>P258</t>
  </si>
  <si>
    <t>P259</t>
  </si>
  <si>
    <t>P260</t>
  </si>
  <si>
    <t>#PepsiCoRefresh,#ThirstyForMore,#BetterWithPepsi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</si>
  <si>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</si>
  <si>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</si>
  <si>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</si>
  <si>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</si>
  <si>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</si>
  <si>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</si>
  <si>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</si>
  <si>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</si>
  <si>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</si>
  <si>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</si>
  <si>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</si>
  <si>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</si>
  <si>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</si>
  <si>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</si>
  <si>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</si>
  <si>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</si>
  <si>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</si>
  <si>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</si>
  <si>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</si>
  <si>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</si>
  <si>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</si>
  <si>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</si>
  <si>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</si>
  <si>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</si>
  <si>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</si>
  <si>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</si>
  <si>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</si>
  <si>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</si>
  <si>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</si>
  <si>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</si>
  <si>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</si>
  <si>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</si>
  <si>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</si>
  <si>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</si>
  <si>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</si>
  <si>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</si>
  <si>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</si>
  <si>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</si>
  <si>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</si>
  <si>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</si>
  <si>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Campaign_Phase</t>
  </si>
  <si>
    <t>Column Labels</t>
  </si>
  <si>
    <t>Before</t>
  </si>
  <si>
    <t>During</t>
  </si>
  <si>
    <t>Total Average of Likes</t>
  </si>
  <si>
    <t>Average of Likes</t>
  </si>
  <si>
    <t>Total Average of Clicks</t>
  </si>
  <si>
    <t>Average of Clicks</t>
  </si>
  <si>
    <t>Total Average of Impressions</t>
  </si>
  <si>
    <t>Average of Impressions</t>
  </si>
  <si>
    <t>Total_Likes</t>
  </si>
  <si>
    <t>Total Clicks</t>
  </si>
  <si>
    <t>Total_Engagement</t>
  </si>
  <si>
    <t>ROI</t>
  </si>
  <si>
    <t>Week_Start_Date</t>
  </si>
  <si>
    <t>New_Followers</t>
  </si>
  <si>
    <t>Unfollows</t>
  </si>
  <si>
    <t>Total_Followers</t>
  </si>
  <si>
    <t>Engagement_Rate</t>
  </si>
  <si>
    <t>Net_Follower_Growth</t>
  </si>
  <si>
    <t>Sum of Net_Follower_Growth</t>
  </si>
  <si>
    <t>Follower_Growth_Impact</t>
  </si>
  <si>
    <t>• SummerSplash delivered the highest ROI</t>
  </si>
  <si>
    <t xml:space="preserve"> generating the strongest engagement relative to its allocated budget</t>
  </si>
  <si>
    <t xml:space="preserve"> making it the most cost-efficient campaign.</t>
  </si>
  <si>
    <t>• DailyWellness achieved the highest net follower growth (16078)</t>
  </si>
  <si>
    <t xml:space="preserve"> indicating the strongest long-term audience acquisition impact.</t>
  </si>
  <si>
    <t>• Click performance improved during all campaigns compared to the pre-campaign period</t>
  </si>
  <si>
    <t xml:space="preserve"> confirming that campaign CTAs and targeting were effective.</t>
  </si>
  <si>
    <t>• Likes uplift was observed in 2 out of 4 campaigns during the campaign period</t>
  </si>
  <si>
    <t xml:space="preserve"> showing that creative effectiveness varied by campaign theme.</t>
  </si>
  <si>
    <t>• Impressions increased during the campaign window for one campaign</t>
  </si>
  <si>
    <t xml:space="preserve"> while others remained flat</t>
  </si>
  <si>
    <t xml:space="preserve"> indicating selective reach amplification rather than universal exposure growth.</t>
  </si>
  <si>
    <t>Total And Average Impresions, Likes,Clicks Per Campaign</t>
  </si>
  <si>
    <t>Engagement Uplift During VS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</si>
</sst>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4" fontId="0" fillId="0" borderId="0" xfId="0" applyNumberFormat="1"/>
    <xf numFmtId="14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horizontal="right" wrapText="1"/>
    </xf>
    <xf numFmtId="0" fontId="0" fillId="0" borderId="7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4" xfId="0" applyNumberForma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vertical="center"/>
    </xf>
    <xf numFmtId="0" fontId="4" fillId="0" borderId="0" xfId="0" applyFont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0" fillId="0" borderId="12" xfId="0" applyBorder="1" applyAlignment="1">
      <alignment wrapText="1"/>
    </xf>
    <xf numFmtId="14" fontId="0" fillId="0" borderId="13" xfId="0" applyNumberForma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right" wrapText="1"/>
    </xf>
    <xf numFmtId="0" fontId="0" fillId="0" borderId="14" xfId="0" applyBorder="1" applyAlignment="1">
      <alignment wrapText="1"/>
    </xf>
    <xf numFmtId="0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32"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numFmt numFmtId="19" formatCode="m/d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numFmt numFmtId="19" formatCode="m/d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4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31.840725347225" createdVersion="8" refreshedVersion="8" minRefreshableVersion="3" recordCount="300" xr:uid="{957C4EA0-AB4B-40DB-BE6E-FD99320C9501}">
  <cacheSource type="worksheet">
    <worksheetSource name="Table1"/>
  </cacheSource>
  <cacheFields count="4">
    <cacheField name="Likes" numFmtId="0">
      <sharedItems containsSemiMixedTypes="0" containsString="0" containsNumber="1" containsInteger="1" minValue="53" maxValue="4941"/>
    </cacheField>
    <cacheField name="Impressions" numFmtId="0">
      <sharedItems containsSemiMixedTypes="0" containsString="0" containsNumber="1" containsInteger="1" minValue="588" maxValue="98100"/>
    </cacheField>
    <cacheField name="Clicks" numFmtId="0">
      <sharedItems containsSemiMixedTypes="0" containsString="0" containsNumber="1" containsInteger="1" minValue="10" maxValue="300"/>
    </cacheField>
    <cacheField name="Campaign_Name" numFmtId="0">
      <sharedItems containsBlank="1" count="5">
        <s v="SummerSplash"/>
        <s v="FestiveRadiance"/>
        <s v="NewYearRefresh"/>
        <s v="DailyWellnes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31.866009837962" createdVersion="8" refreshedVersion="8" minRefreshableVersion="3" recordCount="300" xr:uid="{C79E40CC-CDD8-4265-A12B-684FEC6A4373}">
  <cacheSource type="worksheet">
    <worksheetSource ref="A1:N301" sheet="Cleaned_Posts "/>
  </cacheSource>
  <cacheFields count="14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 count="5">
        <s v="SummerSplash"/>
        <s v="FestiveRadiance"/>
        <s v="NewYearRefresh"/>
        <s v="DailyWellness"/>
        <m/>
      </sharedItems>
    </cacheField>
    <cacheField name="Campaign_Phase" numFmtId="0">
      <sharedItems count="3">
        <s v="Before"/>
        <s v="During"/>
        <s v="No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32.467141898145" createdVersion="8" refreshedVersion="8" minRefreshableVersion="3" recordCount="200" xr:uid="{0352E9F1-5508-4874-B0A1-3222959B6DF3}">
  <cacheSource type="worksheet">
    <worksheetSource name="Table3"/>
  </cacheSource>
  <cacheFields count="9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/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_Follower_Growth" numFmtId="0">
      <sharedItems containsSemiMixedTypes="0" containsString="0" containsNumber="1" containsInteger="1" minValue="-337" maxValue="1881"/>
    </cacheField>
    <cacheField name="Campaign_Name" numFmtId="0">
      <sharedItems count="5">
        <s v="No Campaign"/>
        <s v="SummerSplash"/>
        <s v="FestiveRadiance"/>
        <s v="NewYearRefresh"/>
        <s v="DailyWelln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461"/>
    <n v="21915"/>
    <n v="15"/>
    <x v="0"/>
  </r>
  <r>
    <n v="4054"/>
    <n v="64864"/>
    <n v="117"/>
    <x v="1"/>
  </r>
  <r>
    <n v="2795"/>
    <n v="53105"/>
    <n v="204"/>
    <x v="2"/>
  </r>
  <r>
    <n v="2404"/>
    <n v="19232"/>
    <n v="128"/>
    <x v="3"/>
  </r>
  <r>
    <n v="3557"/>
    <n v="71140"/>
    <n v="224"/>
    <x v="0"/>
  </r>
  <r>
    <n v="2945"/>
    <n v="23560"/>
    <n v="256"/>
    <x v="1"/>
  </r>
  <r>
    <n v="3860"/>
    <n v="61760"/>
    <n v="235"/>
    <x v="1"/>
  </r>
  <r>
    <n v="3929"/>
    <n v="43219"/>
    <n v="39"/>
    <x v="3"/>
  </r>
  <r>
    <n v="3784"/>
    <n v="56760"/>
    <n v="131"/>
    <x v="1"/>
  </r>
  <r>
    <n v="4241"/>
    <n v="72097"/>
    <n v="167"/>
    <x v="1"/>
  </r>
  <r>
    <n v="1792"/>
    <n v="25088"/>
    <n v="65"/>
    <x v="3"/>
  </r>
  <r>
    <n v="1946"/>
    <n v="23352"/>
    <n v="213"/>
    <x v="2"/>
  </r>
  <r>
    <n v="1171"/>
    <n v="22249"/>
    <n v="114"/>
    <x v="0"/>
  </r>
  <r>
    <n v="4242"/>
    <n v="33936"/>
    <n v="265"/>
    <x v="4"/>
  </r>
  <r>
    <n v="3888"/>
    <n v="77760"/>
    <n v="20"/>
    <x v="0"/>
  </r>
  <r>
    <n v="3452"/>
    <n v="55232"/>
    <n v="87"/>
    <x v="2"/>
  </r>
  <r>
    <n v="4441"/>
    <n v="53292"/>
    <n v="159"/>
    <x v="3"/>
  </r>
  <r>
    <n v="3000"/>
    <n v="36000"/>
    <n v="19"/>
    <x v="0"/>
  </r>
  <r>
    <n v="1071"/>
    <n v="16065"/>
    <n v="103"/>
    <x v="3"/>
  </r>
  <r>
    <n v="4054"/>
    <n v="77026"/>
    <n v="25"/>
    <x v="0"/>
  </r>
  <r>
    <n v="4838"/>
    <n v="72570"/>
    <n v="83"/>
    <x v="3"/>
  </r>
  <r>
    <n v="1570"/>
    <n v="25120"/>
    <n v="133"/>
    <x v="3"/>
  </r>
  <r>
    <n v="1606"/>
    <n v="32120"/>
    <n v="225"/>
    <x v="1"/>
  </r>
  <r>
    <n v="3961"/>
    <n v="67337"/>
    <n v="161"/>
    <x v="2"/>
  </r>
  <r>
    <n v="3128"/>
    <n v="59432"/>
    <n v="238"/>
    <x v="4"/>
  </r>
  <r>
    <n v="3009"/>
    <n v="42126"/>
    <n v="211"/>
    <x v="1"/>
  </r>
  <r>
    <n v="2076"/>
    <n v="33216"/>
    <n v="51"/>
    <x v="3"/>
  </r>
  <r>
    <n v="432"/>
    <n v="6912"/>
    <n v="79"/>
    <x v="3"/>
  </r>
  <r>
    <n v="2566"/>
    <n v="12830"/>
    <n v="221"/>
    <x v="2"/>
  </r>
  <r>
    <n v="3095"/>
    <n v="55710"/>
    <n v="93"/>
    <x v="4"/>
  </r>
  <r>
    <n v="438"/>
    <n v="3066"/>
    <n v="282"/>
    <x v="1"/>
  </r>
  <r>
    <n v="2278"/>
    <n v="13668"/>
    <n v="275"/>
    <x v="0"/>
  </r>
  <r>
    <n v="1407"/>
    <n v="16884"/>
    <n v="113"/>
    <x v="0"/>
  </r>
  <r>
    <n v="1652"/>
    <n v="29736"/>
    <n v="215"/>
    <x v="2"/>
  </r>
  <r>
    <n v="3775"/>
    <n v="33975"/>
    <n v="271"/>
    <x v="1"/>
  </r>
  <r>
    <n v="4518"/>
    <n v="67770"/>
    <n v="31"/>
    <x v="1"/>
  </r>
  <r>
    <n v="3024"/>
    <n v="24192"/>
    <n v="36"/>
    <x v="1"/>
  </r>
  <r>
    <n v="3138"/>
    <n v="28242"/>
    <n v="87"/>
    <x v="3"/>
  </r>
  <r>
    <n v="3564"/>
    <n v="60588"/>
    <n v="92"/>
    <x v="4"/>
  </r>
  <r>
    <n v="4750"/>
    <n v="38000"/>
    <n v="299"/>
    <x v="3"/>
  </r>
  <r>
    <n v="456"/>
    <n v="8208"/>
    <n v="205"/>
    <x v="3"/>
  </r>
  <r>
    <n v="1543"/>
    <n v="12344"/>
    <n v="241"/>
    <x v="4"/>
  </r>
  <r>
    <n v="2174"/>
    <n v="13044"/>
    <n v="137"/>
    <x v="2"/>
  </r>
  <r>
    <n v="2358"/>
    <n v="35370"/>
    <n v="216"/>
    <x v="4"/>
  </r>
  <r>
    <n v="3371"/>
    <n v="50565"/>
    <n v="176"/>
    <x v="0"/>
  </r>
  <r>
    <n v="1108"/>
    <n v="8864"/>
    <n v="97"/>
    <x v="3"/>
  </r>
  <r>
    <n v="2704"/>
    <n v="21632"/>
    <n v="127"/>
    <x v="4"/>
  </r>
  <r>
    <n v="1950"/>
    <n v="37050"/>
    <n v="119"/>
    <x v="4"/>
  </r>
  <r>
    <n v="2164"/>
    <n v="28132"/>
    <n v="177"/>
    <x v="3"/>
  </r>
  <r>
    <n v="2754"/>
    <n v="22032"/>
    <n v="112"/>
    <x v="2"/>
  </r>
  <r>
    <n v="2200"/>
    <n v="37400"/>
    <n v="225"/>
    <x v="1"/>
  </r>
  <r>
    <n v="947"/>
    <n v="10417"/>
    <n v="34"/>
    <x v="3"/>
  </r>
  <r>
    <n v="804"/>
    <n v="4020"/>
    <n v="11"/>
    <x v="4"/>
  </r>
  <r>
    <n v="1686"/>
    <n v="18546"/>
    <n v="52"/>
    <x v="1"/>
  </r>
  <r>
    <n v="1226"/>
    <n v="14712"/>
    <n v="123"/>
    <x v="3"/>
  </r>
  <r>
    <n v="2946"/>
    <n v="29460"/>
    <n v="60"/>
    <x v="2"/>
  </r>
  <r>
    <n v="2825"/>
    <n v="45200"/>
    <n v="169"/>
    <x v="0"/>
  </r>
  <r>
    <n v="103"/>
    <n v="1030"/>
    <n v="262"/>
    <x v="3"/>
  </r>
  <r>
    <n v="2180"/>
    <n v="30520"/>
    <n v="174"/>
    <x v="4"/>
  </r>
  <r>
    <n v="904"/>
    <n v="11752"/>
    <n v="84"/>
    <x v="2"/>
  </r>
  <r>
    <n v="4886"/>
    <n v="43974"/>
    <n v="65"/>
    <x v="0"/>
  </r>
  <r>
    <n v="53"/>
    <n v="954"/>
    <n v="148"/>
    <x v="2"/>
  </r>
  <r>
    <n v="4507"/>
    <n v="90140"/>
    <n v="125"/>
    <x v="2"/>
  </r>
  <r>
    <n v="2878"/>
    <n v="43170"/>
    <n v="75"/>
    <x v="2"/>
  </r>
  <r>
    <n v="1881"/>
    <n v="20691"/>
    <n v="289"/>
    <x v="4"/>
  </r>
  <r>
    <n v="432"/>
    <n v="3024"/>
    <n v="184"/>
    <x v="0"/>
  </r>
  <r>
    <n v="4712"/>
    <n v="84816"/>
    <n v="100"/>
    <x v="2"/>
  </r>
  <r>
    <n v="2610"/>
    <n v="15660"/>
    <n v="73"/>
    <x v="4"/>
  </r>
  <r>
    <n v="1292"/>
    <n v="25840"/>
    <n v="149"/>
    <x v="2"/>
  </r>
  <r>
    <n v="199"/>
    <n v="3582"/>
    <n v="43"/>
    <x v="4"/>
  </r>
  <r>
    <n v="2551"/>
    <n v="30612"/>
    <n v="227"/>
    <x v="1"/>
  </r>
  <r>
    <n v="296"/>
    <n v="5624"/>
    <n v="88"/>
    <x v="1"/>
  </r>
  <r>
    <n v="4126"/>
    <n v="78394"/>
    <n v="88"/>
    <x v="3"/>
  </r>
  <r>
    <n v="1855"/>
    <n v="16695"/>
    <n v="123"/>
    <x v="2"/>
  </r>
  <r>
    <n v="1674"/>
    <n v="21762"/>
    <n v="255"/>
    <x v="3"/>
  </r>
  <r>
    <n v="1121"/>
    <n v="15694"/>
    <n v="99"/>
    <x v="3"/>
  </r>
  <r>
    <n v="1249"/>
    <n v="8743"/>
    <n v="63"/>
    <x v="4"/>
  </r>
  <r>
    <n v="954"/>
    <n v="19080"/>
    <n v="21"/>
    <x v="3"/>
  </r>
  <r>
    <n v="3068"/>
    <n v="39884"/>
    <n v="266"/>
    <x v="1"/>
  </r>
  <r>
    <n v="2103"/>
    <n v="39957"/>
    <n v="28"/>
    <x v="4"/>
  </r>
  <r>
    <n v="1816"/>
    <n v="19976"/>
    <n v="283"/>
    <x v="2"/>
  </r>
  <r>
    <n v="725"/>
    <n v="14500"/>
    <n v="200"/>
    <x v="2"/>
  </r>
  <r>
    <n v="1094"/>
    <n v="9846"/>
    <n v="112"/>
    <x v="4"/>
  </r>
  <r>
    <n v="1841"/>
    <n v="34979"/>
    <n v="255"/>
    <x v="3"/>
  </r>
  <r>
    <n v="4177"/>
    <n v="25062"/>
    <n v="230"/>
    <x v="0"/>
  </r>
  <r>
    <n v="3428"/>
    <n v="58276"/>
    <n v="242"/>
    <x v="3"/>
  </r>
  <r>
    <n v="1436"/>
    <n v="12924"/>
    <n v="197"/>
    <x v="2"/>
  </r>
  <r>
    <n v="302"/>
    <n v="5738"/>
    <n v="25"/>
    <x v="3"/>
  </r>
  <r>
    <n v="2214"/>
    <n v="15498"/>
    <n v="180"/>
    <x v="4"/>
  </r>
  <r>
    <n v="3861"/>
    <n v="69498"/>
    <n v="297"/>
    <x v="3"/>
  </r>
  <r>
    <n v="1263"/>
    <n v="25260"/>
    <n v="137"/>
    <x v="3"/>
  </r>
  <r>
    <n v="3801"/>
    <n v="38010"/>
    <n v="236"/>
    <x v="2"/>
  </r>
  <r>
    <n v="1431"/>
    <n v="8586"/>
    <n v="150"/>
    <x v="2"/>
  </r>
  <r>
    <n v="2647"/>
    <n v="18529"/>
    <n v="46"/>
    <x v="2"/>
  </r>
  <r>
    <n v="3182"/>
    <n v="57276"/>
    <n v="163"/>
    <x v="3"/>
  </r>
  <r>
    <n v="1238"/>
    <n v="19808"/>
    <n v="123"/>
    <x v="4"/>
  </r>
  <r>
    <n v="4739"/>
    <n v="61607"/>
    <n v="36"/>
    <x v="1"/>
  </r>
  <r>
    <n v="1575"/>
    <n v="25200"/>
    <n v="17"/>
    <x v="3"/>
  </r>
  <r>
    <n v="4171"/>
    <n v="66736"/>
    <n v="173"/>
    <x v="2"/>
  </r>
  <r>
    <n v="1766"/>
    <n v="24724"/>
    <n v="52"/>
    <x v="4"/>
  </r>
  <r>
    <n v="4450"/>
    <n v="75650"/>
    <n v="12"/>
    <x v="2"/>
  </r>
  <r>
    <n v="1000"/>
    <n v="6000"/>
    <n v="223"/>
    <x v="1"/>
  </r>
  <r>
    <n v="3689"/>
    <n v="40579"/>
    <n v="212"/>
    <x v="1"/>
  </r>
  <r>
    <n v="3655"/>
    <n v="32895"/>
    <n v="199"/>
    <x v="2"/>
  </r>
  <r>
    <n v="498"/>
    <n v="4482"/>
    <n v="32"/>
    <x v="0"/>
  </r>
  <r>
    <n v="4619"/>
    <n v="69285"/>
    <n v="298"/>
    <x v="3"/>
  </r>
  <r>
    <n v="4832"/>
    <n v="91808"/>
    <n v="182"/>
    <x v="4"/>
  </r>
  <r>
    <n v="4050"/>
    <n v="52650"/>
    <n v="209"/>
    <x v="1"/>
  </r>
  <r>
    <n v="3649"/>
    <n v="25543"/>
    <n v="167"/>
    <x v="2"/>
  </r>
  <r>
    <n v="3523"/>
    <n v="38753"/>
    <n v="270"/>
    <x v="1"/>
  </r>
  <r>
    <n v="2719"/>
    <n v="40785"/>
    <n v="40"/>
    <x v="1"/>
  </r>
  <r>
    <n v="1957"/>
    <n v="17613"/>
    <n v="297"/>
    <x v="2"/>
  </r>
  <r>
    <n v="4419"/>
    <n v="44190"/>
    <n v="10"/>
    <x v="0"/>
  </r>
  <r>
    <n v="4000"/>
    <n v="40000"/>
    <n v="44"/>
    <x v="0"/>
  </r>
  <r>
    <n v="2493"/>
    <n v="42381"/>
    <n v="242"/>
    <x v="3"/>
  </r>
  <r>
    <n v="3704"/>
    <n v="25928"/>
    <n v="131"/>
    <x v="4"/>
  </r>
  <r>
    <n v="1606"/>
    <n v="20878"/>
    <n v="219"/>
    <x v="3"/>
  </r>
  <r>
    <n v="4551"/>
    <n v="68265"/>
    <n v="57"/>
    <x v="2"/>
  </r>
  <r>
    <n v="1970"/>
    <n v="9850"/>
    <n v="117"/>
    <x v="4"/>
  </r>
  <r>
    <n v="780"/>
    <n v="8580"/>
    <n v="91"/>
    <x v="2"/>
  </r>
  <r>
    <n v="498"/>
    <n v="4980"/>
    <n v="185"/>
    <x v="4"/>
  </r>
  <r>
    <n v="3432"/>
    <n v="54912"/>
    <n v="264"/>
    <x v="1"/>
  </r>
  <r>
    <n v="4363"/>
    <n v="21815"/>
    <n v="157"/>
    <x v="0"/>
  </r>
  <r>
    <n v="736"/>
    <n v="5152"/>
    <n v="19"/>
    <x v="0"/>
  </r>
  <r>
    <n v="3811"/>
    <n v="34299"/>
    <n v="233"/>
    <x v="3"/>
  </r>
  <r>
    <n v="4158"/>
    <n v="45738"/>
    <n v="142"/>
    <x v="4"/>
  </r>
  <r>
    <n v="3452"/>
    <n v="65588"/>
    <n v="158"/>
    <x v="2"/>
  </r>
  <r>
    <n v="3092"/>
    <n v="27828"/>
    <n v="102"/>
    <x v="4"/>
  </r>
  <r>
    <n v="2147"/>
    <n v="17176"/>
    <n v="170"/>
    <x v="4"/>
  </r>
  <r>
    <n v="2936"/>
    <n v="38168"/>
    <n v="22"/>
    <x v="3"/>
  </r>
  <r>
    <n v="4840"/>
    <n v="43560"/>
    <n v="57"/>
    <x v="2"/>
  </r>
  <r>
    <n v="1947"/>
    <n v="21417"/>
    <n v="186"/>
    <x v="1"/>
  </r>
  <r>
    <n v="2072"/>
    <n v="37296"/>
    <n v="25"/>
    <x v="3"/>
  </r>
  <r>
    <n v="3731"/>
    <n v="55965"/>
    <n v="103"/>
    <x v="0"/>
  </r>
  <r>
    <n v="4213"/>
    <n v="75834"/>
    <n v="272"/>
    <x v="3"/>
  </r>
  <r>
    <n v="3134"/>
    <n v="21938"/>
    <n v="130"/>
    <x v="3"/>
  </r>
  <r>
    <n v="3008"/>
    <n v="15040"/>
    <n v="277"/>
    <x v="4"/>
  </r>
  <r>
    <n v="305"/>
    <n v="4575"/>
    <n v="234"/>
    <x v="2"/>
  </r>
  <r>
    <n v="2746"/>
    <n v="32952"/>
    <n v="147"/>
    <x v="0"/>
  </r>
  <r>
    <n v="2291"/>
    <n v="18328"/>
    <n v="10"/>
    <x v="1"/>
  </r>
  <r>
    <n v="3170"/>
    <n v="19020"/>
    <n v="240"/>
    <x v="4"/>
  </r>
  <r>
    <n v="2070"/>
    <n v="39330"/>
    <n v="114"/>
    <x v="3"/>
  </r>
  <r>
    <n v="80"/>
    <n v="1040"/>
    <n v="117"/>
    <x v="2"/>
  </r>
  <r>
    <n v="4929"/>
    <n v="93651"/>
    <n v="66"/>
    <x v="3"/>
  </r>
  <r>
    <n v="1878"/>
    <n v="37560"/>
    <n v="142"/>
    <x v="3"/>
  </r>
  <r>
    <n v="3065"/>
    <n v="18390"/>
    <n v="200"/>
    <x v="4"/>
  </r>
  <r>
    <n v="3256"/>
    <n v="26048"/>
    <n v="143"/>
    <x v="1"/>
  </r>
  <r>
    <n v="4133"/>
    <n v="24798"/>
    <n v="176"/>
    <x v="3"/>
  </r>
  <r>
    <n v="1702"/>
    <n v="34040"/>
    <n v="76"/>
    <x v="0"/>
  </r>
  <r>
    <n v="4295"/>
    <n v="85900"/>
    <n v="290"/>
    <x v="3"/>
  </r>
  <r>
    <n v="3559"/>
    <n v="35590"/>
    <n v="122"/>
    <x v="0"/>
  </r>
  <r>
    <n v="4804"/>
    <n v="28824"/>
    <n v="47"/>
    <x v="3"/>
  </r>
  <r>
    <n v="754"/>
    <n v="6786"/>
    <n v="212"/>
    <x v="2"/>
  </r>
  <r>
    <n v="985"/>
    <n v="6895"/>
    <n v="64"/>
    <x v="3"/>
  </r>
  <r>
    <n v="2283"/>
    <n v="22830"/>
    <n v="143"/>
    <x v="1"/>
  </r>
  <r>
    <n v="3352"/>
    <n v="43576"/>
    <n v="240"/>
    <x v="1"/>
  </r>
  <r>
    <n v="4775"/>
    <n v="47750"/>
    <n v="187"/>
    <x v="1"/>
  </r>
  <r>
    <n v="1762"/>
    <n v="22906"/>
    <n v="25"/>
    <x v="0"/>
  </r>
  <r>
    <n v="2120"/>
    <n v="12720"/>
    <n v="17"/>
    <x v="1"/>
  </r>
  <r>
    <n v="1082"/>
    <n v="19476"/>
    <n v="20"/>
    <x v="4"/>
  </r>
  <r>
    <n v="4671"/>
    <n v="51381"/>
    <n v="245"/>
    <x v="3"/>
  </r>
  <r>
    <n v="3430"/>
    <n v="48020"/>
    <n v="120"/>
    <x v="4"/>
  </r>
  <r>
    <n v="4501"/>
    <n v="22505"/>
    <n v="132"/>
    <x v="1"/>
  </r>
  <r>
    <n v="4934"/>
    <n v="39472"/>
    <n v="169"/>
    <x v="3"/>
  </r>
  <r>
    <n v="3239"/>
    <n v="22673"/>
    <n v="230"/>
    <x v="1"/>
  </r>
  <r>
    <n v="1076"/>
    <n v="11836"/>
    <n v="104"/>
    <x v="0"/>
  </r>
  <r>
    <n v="4771"/>
    <n v="57252"/>
    <n v="150"/>
    <x v="4"/>
  </r>
  <r>
    <n v="2418"/>
    <n v="43524"/>
    <n v="182"/>
    <x v="0"/>
  </r>
  <r>
    <n v="3809"/>
    <n v="34281"/>
    <n v="83"/>
    <x v="0"/>
  </r>
  <r>
    <n v="3577"/>
    <n v="67963"/>
    <n v="53"/>
    <x v="2"/>
  </r>
  <r>
    <n v="1018"/>
    <n v="18324"/>
    <n v="38"/>
    <x v="1"/>
  </r>
  <r>
    <n v="3073"/>
    <n v="52241"/>
    <n v="246"/>
    <x v="2"/>
  </r>
  <r>
    <n v="1330"/>
    <n v="15960"/>
    <n v="229"/>
    <x v="2"/>
  </r>
  <r>
    <n v="3828"/>
    <n v="30624"/>
    <n v="235"/>
    <x v="4"/>
  </r>
  <r>
    <n v="142"/>
    <n v="1704"/>
    <n v="154"/>
    <x v="3"/>
  </r>
  <r>
    <n v="3798"/>
    <n v="75960"/>
    <n v="266"/>
    <x v="0"/>
  </r>
  <r>
    <n v="3099"/>
    <n v="43386"/>
    <n v="52"/>
    <x v="2"/>
  </r>
  <r>
    <n v="129"/>
    <n v="1290"/>
    <n v="238"/>
    <x v="3"/>
  </r>
  <r>
    <n v="3796"/>
    <n v="64532"/>
    <n v="292"/>
    <x v="4"/>
  </r>
  <r>
    <n v="3711"/>
    <n v="48243"/>
    <n v="11"/>
    <x v="0"/>
  </r>
  <r>
    <n v="606"/>
    <n v="7878"/>
    <n v="239"/>
    <x v="2"/>
  </r>
  <r>
    <n v="4689"/>
    <n v="51579"/>
    <n v="173"/>
    <x v="3"/>
  </r>
  <r>
    <n v="360"/>
    <n v="4680"/>
    <n v="208"/>
    <x v="1"/>
  </r>
  <r>
    <n v="3215"/>
    <n v="32150"/>
    <n v="251"/>
    <x v="0"/>
  </r>
  <r>
    <n v="4523"/>
    <n v="49753"/>
    <n v="71"/>
    <x v="4"/>
  </r>
  <r>
    <n v="4292"/>
    <n v="55796"/>
    <n v="264"/>
    <x v="2"/>
  </r>
  <r>
    <n v="1644"/>
    <n v="27948"/>
    <n v="300"/>
    <x v="2"/>
  </r>
  <r>
    <n v="2728"/>
    <n v="40920"/>
    <n v="137"/>
    <x v="1"/>
  </r>
  <r>
    <n v="3360"/>
    <n v="60480"/>
    <n v="192"/>
    <x v="0"/>
  </r>
  <r>
    <n v="1963"/>
    <n v="39260"/>
    <n v="145"/>
    <x v="4"/>
  </r>
  <r>
    <n v="4285"/>
    <n v="55705"/>
    <n v="51"/>
    <x v="2"/>
  </r>
  <r>
    <n v="1176"/>
    <n v="14112"/>
    <n v="272"/>
    <x v="4"/>
  </r>
  <r>
    <n v="4858"/>
    <n v="53438"/>
    <n v="223"/>
    <x v="2"/>
  </r>
  <r>
    <n v="4350"/>
    <n v="60900"/>
    <n v="195"/>
    <x v="0"/>
  </r>
  <r>
    <n v="914"/>
    <n v="11882"/>
    <n v="282"/>
    <x v="3"/>
  </r>
  <r>
    <n v="1813"/>
    <n v="19943"/>
    <n v="85"/>
    <x v="2"/>
  </r>
  <r>
    <n v="4782"/>
    <n v="86076"/>
    <n v="19"/>
    <x v="0"/>
  </r>
  <r>
    <n v="1048"/>
    <n v="9432"/>
    <n v="158"/>
    <x v="2"/>
  </r>
  <r>
    <n v="2509"/>
    <n v="35126"/>
    <n v="277"/>
    <x v="1"/>
  </r>
  <r>
    <n v="3718"/>
    <n v="70642"/>
    <n v="233"/>
    <x v="1"/>
  </r>
  <r>
    <n v="802"/>
    <n v="14436"/>
    <n v="49"/>
    <x v="0"/>
  </r>
  <r>
    <n v="1871"/>
    <n v="29936"/>
    <n v="288"/>
    <x v="2"/>
  </r>
  <r>
    <n v="3773"/>
    <n v="71687"/>
    <n v="286"/>
    <x v="0"/>
  </r>
  <r>
    <n v="2234"/>
    <n v="11170"/>
    <n v="198"/>
    <x v="2"/>
  </r>
  <r>
    <n v="3820"/>
    <n v="45840"/>
    <n v="171"/>
    <x v="3"/>
  </r>
  <r>
    <n v="941"/>
    <n v="14115"/>
    <n v="87"/>
    <x v="0"/>
  </r>
  <r>
    <n v="4274"/>
    <n v="34192"/>
    <n v="129"/>
    <x v="2"/>
  </r>
  <r>
    <n v="2949"/>
    <n v="44235"/>
    <n v="135"/>
    <x v="1"/>
  </r>
  <r>
    <n v="3160"/>
    <n v="44240"/>
    <n v="49"/>
    <x v="3"/>
  </r>
  <r>
    <n v="257"/>
    <n v="3341"/>
    <n v="287"/>
    <x v="0"/>
  </r>
  <r>
    <n v="2120"/>
    <n v="12720"/>
    <n v="21"/>
    <x v="3"/>
  </r>
  <r>
    <n v="3874"/>
    <n v="38740"/>
    <n v="219"/>
    <x v="1"/>
  </r>
  <r>
    <n v="2696"/>
    <n v="45832"/>
    <n v="248"/>
    <x v="3"/>
  </r>
  <r>
    <n v="521"/>
    <n v="4168"/>
    <n v="282"/>
    <x v="1"/>
  </r>
  <r>
    <n v="4872"/>
    <n v="82824"/>
    <n v="89"/>
    <x v="1"/>
  </r>
  <r>
    <n v="1509"/>
    <n v="30180"/>
    <n v="119"/>
    <x v="1"/>
  </r>
  <r>
    <n v="4606"/>
    <n v="92120"/>
    <n v="56"/>
    <x v="4"/>
  </r>
  <r>
    <n v="1869"/>
    <n v="14952"/>
    <n v="275"/>
    <x v="3"/>
  </r>
  <r>
    <n v="1188"/>
    <n v="7128"/>
    <n v="270"/>
    <x v="3"/>
  </r>
  <r>
    <n v="84"/>
    <n v="588"/>
    <n v="12"/>
    <x v="4"/>
  </r>
  <r>
    <n v="4453"/>
    <n v="31171"/>
    <n v="23"/>
    <x v="4"/>
  </r>
  <r>
    <n v="1814"/>
    <n v="25396"/>
    <n v="39"/>
    <x v="0"/>
  </r>
  <r>
    <n v="3338"/>
    <n v="60084"/>
    <n v="252"/>
    <x v="4"/>
  </r>
  <r>
    <n v="602"/>
    <n v="4214"/>
    <n v="164"/>
    <x v="2"/>
  </r>
  <r>
    <n v="4672"/>
    <n v="88768"/>
    <n v="118"/>
    <x v="4"/>
  </r>
  <r>
    <n v="1741"/>
    <n v="8705"/>
    <n v="121"/>
    <x v="4"/>
  </r>
  <r>
    <n v="246"/>
    <n v="4674"/>
    <n v="217"/>
    <x v="2"/>
  </r>
  <r>
    <n v="4808"/>
    <n v="72120"/>
    <n v="195"/>
    <x v="0"/>
  </r>
  <r>
    <n v="4799"/>
    <n v="43191"/>
    <n v="118"/>
    <x v="4"/>
  </r>
  <r>
    <n v="3663"/>
    <n v="51282"/>
    <n v="84"/>
    <x v="2"/>
  </r>
  <r>
    <n v="1430"/>
    <n v="21450"/>
    <n v="251"/>
    <x v="0"/>
  </r>
  <r>
    <n v="249"/>
    <n v="1494"/>
    <n v="201"/>
    <x v="3"/>
  </r>
  <r>
    <n v="2382"/>
    <n v="38112"/>
    <n v="249"/>
    <x v="3"/>
  </r>
  <r>
    <n v="1272"/>
    <n v="24168"/>
    <n v="42"/>
    <x v="4"/>
  </r>
  <r>
    <n v="3196"/>
    <n v="35156"/>
    <n v="241"/>
    <x v="2"/>
  </r>
  <r>
    <n v="1257"/>
    <n v="12570"/>
    <n v="194"/>
    <x v="1"/>
  </r>
  <r>
    <n v="3770"/>
    <n v="71630"/>
    <n v="76"/>
    <x v="0"/>
  </r>
  <r>
    <n v="4725"/>
    <n v="75600"/>
    <n v="43"/>
    <x v="3"/>
  </r>
  <r>
    <n v="4188"/>
    <n v="20940"/>
    <n v="102"/>
    <x v="4"/>
  </r>
  <r>
    <n v="929"/>
    <n v="16722"/>
    <n v="145"/>
    <x v="2"/>
  </r>
  <r>
    <n v="4321"/>
    <n v="30247"/>
    <n v="122"/>
    <x v="3"/>
  </r>
  <r>
    <n v="4767"/>
    <n v="28602"/>
    <n v="210"/>
    <x v="2"/>
  </r>
  <r>
    <n v="3592"/>
    <n v="50288"/>
    <n v="32"/>
    <x v="3"/>
  </r>
  <r>
    <n v="4661"/>
    <n v="23305"/>
    <n v="63"/>
    <x v="2"/>
  </r>
  <r>
    <n v="4134"/>
    <n v="41340"/>
    <n v="177"/>
    <x v="0"/>
  </r>
  <r>
    <n v="400"/>
    <n v="6400"/>
    <n v="160"/>
    <x v="1"/>
  </r>
  <r>
    <n v="3960"/>
    <n v="35640"/>
    <n v="208"/>
    <x v="4"/>
  </r>
  <r>
    <n v="886"/>
    <n v="4430"/>
    <n v="212"/>
    <x v="4"/>
  </r>
  <r>
    <n v="827"/>
    <n v="14886"/>
    <n v="254"/>
    <x v="1"/>
  </r>
  <r>
    <n v="3813"/>
    <n v="68634"/>
    <n v="251"/>
    <x v="4"/>
  </r>
  <r>
    <n v="1377"/>
    <n v="22032"/>
    <n v="189"/>
    <x v="4"/>
  </r>
  <r>
    <n v="2089"/>
    <n v="16712"/>
    <n v="64"/>
    <x v="2"/>
  </r>
  <r>
    <n v="3791"/>
    <n v="53074"/>
    <n v="205"/>
    <x v="4"/>
  </r>
  <r>
    <n v="2692"/>
    <n v="21536"/>
    <n v="224"/>
    <x v="1"/>
  </r>
  <r>
    <n v="3767"/>
    <n v="37670"/>
    <n v="226"/>
    <x v="3"/>
  </r>
  <r>
    <n v="2143"/>
    <n v="40717"/>
    <n v="248"/>
    <x v="1"/>
  </r>
  <r>
    <n v="3090"/>
    <n v="49440"/>
    <n v="25"/>
    <x v="1"/>
  </r>
  <r>
    <n v="3601"/>
    <n v="21606"/>
    <n v="172"/>
    <x v="1"/>
  </r>
  <r>
    <n v="562"/>
    <n v="3372"/>
    <n v="93"/>
    <x v="0"/>
  </r>
  <r>
    <n v="4332"/>
    <n v="60648"/>
    <n v="10"/>
    <x v="2"/>
  </r>
  <r>
    <n v="4853"/>
    <n v="72795"/>
    <n v="170"/>
    <x v="0"/>
  </r>
  <r>
    <n v="1206"/>
    <n v="9648"/>
    <n v="237"/>
    <x v="4"/>
  </r>
  <r>
    <n v="2603"/>
    <n v="13015"/>
    <n v="20"/>
    <x v="1"/>
  </r>
  <r>
    <n v="59"/>
    <n v="590"/>
    <n v="293"/>
    <x v="1"/>
  </r>
  <r>
    <n v="1877"/>
    <n v="11262"/>
    <n v="41"/>
    <x v="3"/>
  </r>
  <r>
    <n v="4182"/>
    <n v="50184"/>
    <n v="10"/>
    <x v="2"/>
  </r>
  <r>
    <n v="4187"/>
    <n v="66992"/>
    <n v="62"/>
    <x v="4"/>
  </r>
  <r>
    <n v="4579"/>
    <n v="59527"/>
    <n v="269"/>
    <x v="0"/>
  </r>
  <r>
    <n v="4561"/>
    <n v="22805"/>
    <n v="45"/>
    <x v="1"/>
  </r>
  <r>
    <n v="3774"/>
    <n v="60384"/>
    <n v="241"/>
    <x v="2"/>
  </r>
  <r>
    <n v="3575"/>
    <n v="21450"/>
    <n v="195"/>
    <x v="1"/>
  </r>
  <r>
    <n v="4941"/>
    <n v="39528"/>
    <n v="217"/>
    <x v="2"/>
  </r>
  <r>
    <n v="3641"/>
    <n v="40051"/>
    <n v="296"/>
    <x v="3"/>
  </r>
  <r>
    <n v="3535"/>
    <n v="53025"/>
    <n v="44"/>
    <x v="3"/>
  </r>
  <r>
    <n v="1741"/>
    <n v="17410"/>
    <n v="58"/>
    <x v="2"/>
  </r>
  <r>
    <n v="1556"/>
    <n v="9336"/>
    <n v="137"/>
    <x v="1"/>
  </r>
  <r>
    <n v="4236"/>
    <n v="21180"/>
    <n v="238"/>
    <x v="0"/>
  </r>
  <r>
    <n v="4516"/>
    <n v="49676"/>
    <n v="282"/>
    <x v="3"/>
  </r>
  <r>
    <n v="4905"/>
    <n v="98100"/>
    <n v="279"/>
    <x v="1"/>
  </r>
  <r>
    <n v="4275"/>
    <n v="64125"/>
    <n v="104"/>
    <x v="3"/>
  </r>
  <r>
    <n v="3166"/>
    <n v="56988"/>
    <n v="135"/>
    <x v="1"/>
  </r>
  <r>
    <n v="1488"/>
    <n v="19344"/>
    <n v="30"/>
    <x v="2"/>
  </r>
  <r>
    <n v="3367"/>
    <n v="63973"/>
    <n v="157"/>
    <x v="1"/>
  </r>
  <r>
    <n v="571"/>
    <n v="9707"/>
    <n v="231"/>
    <x v="3"/>
  </r>
  <r>
    <n v="4021"/>
    <n v="36189"/>
    <n v="174"/>
    <x v="4"/>
  </r>
  <r>
    <n v="3389"/>
    <n v="20334"/>
    <n v="228"/>
    <x v="2"/>
  </r>
  <r>
    <n v="1164"/>
    <n v="6984"/>
    <n v="82"/>
    <x v="0"/>
  </r>
  <r>
    <n v="4780"/>
    <n v="86040"/>
    <n v="262"/>
    <x v="2"/>
  </r>
  <r>
    <n v="2751"/>
    <n v="44016"/>
    <n v="129"/>
    <x v="4"/>
  </r>
  <r>
    <n v="2107"/>
    <n v="35819"/>
    <n v="191"/>
    <x v="3"/>
  </r>
  <r>
    <n v="4663"/>
    <n v="69945"/>
    <n v="35"/>
    <x v="3"/>
  </r>
  <r>
    <n v="880"/>
    <n v="12320"/>
    <n v="238"/>
    <x v="4"/>
  </r>
  <r>
    <n v="2634"/>
    <n v="28974"/>
    <n v="277"/>
    <x v="0"/>
  </r>
  <r>
    <n v="4731"/>
    <n v="28386"/>
    <n v="89"/>
    <x v="2"/>
  </r>
  <r>
    <n v="1952"/>
    <n v="15616"/>
    <n v="235"/>
    <x v="1"/>
  </r>
  <r>
    <n v="3440"/>
    <n v="58480"/>
    <n v="210"/>
    <x v="3"/>
  </r>
  <r>
    <n v="2166"/>
    <n v="10830"/>
    <n v="24"/>
    <x v="3"/>
  </r>
  <r>
    <n v="4303"/>
    <n v="86060"/>
    <n v="14"/>
    <x v="2"/>
  </r>
  <r>
    <n v="2581"/>
    <n v="23229"/>
    <n v="70"/>
    <x v="2"/>
  </r>
  <r>
    <n v="4494"/>
    <n v="62916"/>
    <n v="19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1675"/>
    <n v="15"/>
    <s v="#LiveForNow,#AnytimeIsPepsiTime"/>
    <x v="0"/>
    <x v="0"/>
  </r>
  <r>
    <s v="P002"/>
    <s v="Twitter"/>
    <d v="2025-04-03T00:00:00"/>
    <s v="Text"/>
    <s v="Check out our latest text on twitter!"/>
    <n v="4054"/>
    <n v="389"/>
    <n v="493"/>
    <n v="64864"/>
    <n v="64383"/>
    <n v="117"/>
    <s v="#PepsiCoRefresh,#BetterWithPepsi"/>
    <x v="1"/>
    <x v="0"/>
  </r>
  <r>
    <s v="P003"/>
    <s v="YouTube"/>
    <d v="2025-05-12T00:00:00"/>
    <s v="Reel"/>
    <s v="Check out our latest reel on youtube!"/>
    <n v="2795"/>
    <n v="105"/>
    <n v="49"/>
    <n v="53105"/>
    <n v="52307"/>
    <n v="204"/>
    <s v="#PepsiCoRefresh"/>
    <x v="2"/>
    <x v="0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#ThirstyForMore"/>
    <x v="3"/>
    <x v="0"/>
  </r>
  <r>
    <s v="P005"/>
    <s v="YouTube"/>
    <d v="2024-06-26T00:00:00"/>
    <s v="Reel"/>
    <s v="Check out our latest reel on youtube!"/>
    <n v="3557"/>
    <n v="687"/>
    <n v="424"/>
    <n v="71140"/>
    <n v="70701"/>
    <n v="224"/>
    <s v="#ThirstyForMore,#PepsiCoRefresh"/>
    <x v="0"/>
    <x v="1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#PepsiCoRefresh"/>
    <x v="1"/>
    <x v="1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#PepsiCoRefresh"/>
    <x v="1"/>
    <x v="0"/>
  </r>
  <r>
    <s v="P008"/>
    <s v="YouTube"/>
    <d v="2024-07-13T00:00:00"/>
    <s v="Image"/>
    <s v="Check out our latest image on youtube!"/>
    <n v="3929"/>
    <n v="262"/>
    <n v="278"/>
    <n v="43219"/>
    <n v="42841"/>
    <n v="39"/>
    <s v="#ThirstyForMore"/>
    <x v="3"/>
    <x v="0"/>
  </r>
  <r>
    <s v="P009"/>
    <s v="Facebook"/>
    <d v="2024-08-30T00:00:00"/>
    <s v="Text"/>
    <s v="Check out our latest text on facebook!"/>
    <n v="3784"/>
    <n v="808"/>
    <n v="404"/>
    <n v="56760"/>
    <n v="56343"/>
    <n v="131"/>
    <s v="#PepsiCoRefresh"/>
    <x v="1"/>
    <x v="0"/>
  </r>
  <r>
    <s v="P010"/>
    <s v="Facebook"/>
    <d v="2025-03-11T00:00:00"/>
    <s v="Image"/>
    <s v="Check out our latest image on facebook!"/>
    <n v="4241"/>
    <n v="902"/>
    <n v="47"/>
    <n v="72097"/>
    <n v="71598"/>
    <n v="167"/>
    <s v="#PepsiCoRefresh"/>
    <x v="1"/>
    <x v="0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#LiveForNow"/>
    <x v="3"/>
    <x v="0"/>
  </r>
  <r>
    <s v="P012"/>
    <s v="Facebook"/>
    <d v="2024-07-21T00:00:00"/>
    <s v="Reel"/>
    <s v="Check out our latest reel on facebook!"/>
    <n v="1946"/>
    <n v="686"/>
    <n v="377"/>
    <n v="23352"/>
    <n v="22982"/>
    <n v="213"/>
    <s v="#LiveForNow"/>
    <x v="2"/>
    <x v="0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#ThirstyForMore"/>
    <x v="0"/>
    <x v="0"/>
  </r>
  <r>
    <s v="P014"/>
    <s v="Facebook"/>
    <d v="2025-02-16T00:00:00"/>
    <s v="Story"/>
    <s v="Check out our latest story on facebook!"/>
    <n v="4242"/>
    <n v="555"/>
    <n v="131"/>
    <n v="33936"/>
    <n v="33802"/>
    <n v="265"/>
    <s v="#LiveForNow"/>
    <x v="4"/>
    <x v="2"/>
  </r>
  <r>
    <s v="P015"/>
    <s v="Facebook"/>
    <d v="2024-10-24T00:00:00"/>
    <s v="Video"/>
    <s v="Check out our latest video on facebook!"/>
    <n v="3888"/>
    <n v="604"/>
    <n v="128"/>
    <n v="77760"/>
    <n v="77167"/>
    <n v="20"/>
    <s v="#LiveForNow"/>
    <x v="0"/>
    <x v="0"/>
  </r>
  <r>
    <s v="P016"/>
    <s v="Facebook"/>
    <d v="2024-08-26T00:00:00"/>
    <s v="Text"/>
    <s v="Check out our latest text on facebook!"/>
    <n v="3452"/>
    <n v="377"/>
    <n v="360"/>
    <n v="55232"/>
    <n v="55075"/>
    <n v="87"/>
    <s v="#LiveForNow"/>
    <x v="2"/>
    <x v="0"/>
  </r>
  <r>
    <s v="P017"/>
    <s v="Facebook"/>
    <d v="2025-05-05T00:00:00"/>
    <s v="Text"/>
    <s v="Check out our latest text on facebook!"/>
    <n v="4441"/>
    <n v="511"/>
    <n v="70"/>
    <n v="53292"/>
    <n v="53082"/>
    <n v="159"/>
    <s v="#ThirstyForMore"/>
    <x v="3"/>
    <x v="0"/>
  </r>
  <r>
    <s v="P018"/>
    <s v="Instagram"/>
    <d v="2024-08-19T00:00:00"/>
    <s v="Reel"/>
    <s v="Check out our latest reel on instagram!"/>
    <n v="3000"/>
    <n v="382"/>
    <n v="325"/>
    <n v="36000"/>
    <n v="35819"/>
    <n v="19"/>
    <s v="#LiveForNow"/>
    <x v="0"/>
    <x v="0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#PepsiCoRefresh"/>
    <x v="3"/>
    <x v="0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#PepsiCoRefresh"/>
    <x v="0"/>
    <x v="0"/>
  </r>
  <r>
    <s v="P021"/>
    <s v="Instagram"/>
    <d v="2025-01-04T00:00:00"/>
    <s v="Reel"/>
    <s v="Check out our latest reel on instagram!"/>
    <n v="4838"/>
    <n v="640"/>
    <n v="128"/>
    <n v="72570"/>
    <n v="72396"/>
    <n v="83"/>
    <s v="#LiveForNow"/>
    <x v="3"/>
    <x v="0"/>
  </r>
  <r>
    <s v="P022"/>
    <s v="Facebook"/>
    <d v="2025-02-27T00:00:00"/>
    <s v="Text"/>
    <s v="Check out our latest text on facebook!"/>
    <n v="1570"/>
    <n v="187"/>
    <n v="260"/>
    <n v="25120"/>
    <n v="24613"/>
    <n v="133"/>
    <s v="#PepsiCoRefresh"/>
    <x v="3"/>
    <x v="0"/>
  </r>
  <r>
    <s v="P023"/>
    <s v="Facebook"/>
    <d v="2024-11-06T00:00:00"/>
    <s v="Video"/>
    <s v="Check out our latest video on facebook!"/>
    <n v="1606"/>
    <n v="547"/>
    <n v="316"/>
    <n v="32120"/>
    <n v="31736"/>
    <n v="225"/>
    <s v="#PepsiCoRefresh,#AnytimeIsPepsiTime"/>
    <x v="1"/>
    <x v="0"/>
  </r>
  <r>
    <s v="P024"/>
    <s v="Facebook"/>
    <d v="2025-01-23T00:00:00"/>
    <s v="Video"/>
    <s v="Check out our latest video on facebook!"/>
    <n v="3961"/>
    <n v="761"/>
    <n v="131"/>
    <n v="67337"/>
    <n v="66615"/>
    <n v="161"/>
    <s v="#LiveForNow"/>
    <x v="2"/>
    <x v="0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#ThirstyForMore"/>
    <x v="4"/>
    <x v="2"/>
  </r>
  <r>
    <s v="P026"/>
    <s v="YouTube"/>
    <d v="2025-04-05T00:00:00"/>
    <s v="Reel"/>
    <s v="Check out our latest reel on youtube!"/>
    <n v="3009"/>
    <n v="413"/>
    <n v="358"/>
    <n v="42126"/>
    <n v="41309"/>
    <n v="211"/>
    <s v="#LiveForNow"/>
    <x v="1"/>
    <x v="0"/>
  </r>
  <r>
    <s v="P027"/>
    <s v="YouTube"/>
    <d v="2024-09-17T00:00:00"/>
    <s v="Text"/>
    <s v="Check out our latest text on youtube!"/>
    <n v="2076"/>
    <n v="195"/>
    <n v="104"/>
    <n v="33216"/>
    <n v="32244"/>
    <n v="51"/>
    <s v="#LiveForNow"/>
    <x v="3"/>
    <x v="0"/>
  </r>
  <r>
    <s v="P028"/>
    <s v="Instagram"/>
    <d v="2025-03-04T00:00:00"/>
    <s v="Video"/>
    <s v="Check out our latest video on instagram!"/>
    <n v="432"/>
    <n v="624"/>
    <n v="123"/>
    <n v="6912"/>
    <n v="6259"/>
    <n v="79"/>
    <s v="#LiveForNow"/>
    <x v="3"/>
    <x v="1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#LiveForNow"/>
    <x v="2"/>
    <x v="0"/>
  </r>
  <r>
    <s v="P030"/>
    <s v="Instagram"/>
    <d v="2025-02-25T00:00:00"/>
    <s v="Video"/>
    <s v="Check out our latest video on instagram!"/>
    <n v="3095"/>
    <n v="39"/>
    <n v="78"/>
    <n v="55710"/>
    <n v="54808"/>
    <n v="93"/>
    <s v="#ThirstyForMore"/>
    <x v="4"/>
    <x v="2"/>
  </r>
  <r>
    <s v="P031"/>
    <s v="Instagram"/>
    <d v="2024-12-16T00:00:00"/>
    <s v="Text"/>
    <s v="Check out our latest text on instagram!"/>
    <n v="438"/>
    <n v="153"/>
    <n v="275"/>
    <n v="3066"/>
    <n v="2701"/>
    <n v="282"/>
    <s v="#PepsiCoRefresh"/>
    <x v="1"/>
    <x v="0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#ThirstyForMore"/>
    <x v="0"/>
    <x v="0"/>
  </r>
  <r>
    <s v="P033"/>
    <s v="Facebook"/>
    <d v="2024-08-21T00:00:00"/>
    <s v="Image"/>
    <s v="Check out our latest image on facebook!"/>
    <n v="1407"/>
    <n v="400"/>
    <n v="351"/>
    <n v="16884"/>
    <n v="15954"/>
    <n v="113"/>
    <s v="#PepsiCoRefresh"/>
    <x v="0"/>
    <x v="0"/>
  </r>
  <r>
    <s v="P034"/>
    <s v="Facebook"/>
    <d v="2025-03-26T00:00:00"/>
    <s v="Text"/>
    <s v="Check out our latest text on facebook!"/>
    <n v="1652"/>
    <n v="89"/>
    <n v="357"/>
    <n v="29736"/>
    <n v="28771"/>
    <n v="215"/>
    <s v="#PepsiCoRefresh"/>
    <x v="2"/>
    <x v="0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#LiveForNow"/>
    <x v="1"/>
    <x v="0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#ThirstyForMore"/>
    <x v="1"/>
    <x v="0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#ThirstyForMore"/>
    <x v="1"/>
    <x v="0"/>
  </r>
  <r>
    <s v="P038"/>
    <s v="YouTube"/>
    <d v="2025-02-17T00:00:00"/>
    <s v="Reel"/>
    <s v="Check out our latest reel on youtube!"/>
    <n v="3138"/>
    <n v="123"/>
    <n v="291"/>
    <n v="28242"/>
    <n v="27550"/>
    <n v="87"/>
    <s v="#PepsiCoRefresh"/>
    <x v="3"/>
    <x v="0"/>
  </r>
  <r>
    <s v="P039"/>
    <s v="Facebook"/>
    <d v="2024-11-25T00:00:00"/>
    <s v="Image"/>
    <s v="Check out our latest image on facebook!"/>
    <n v="3564"/>
    <n v="629"/>
    <n v="177"/>
    <n v="60588"/>
    <n v="59627"/>
    <n v="92"/>
    <s v="#PepsiCoRefresh"/>
    <x v="4"/>
    <x v="2"/>
  </r>
  <r>
    <s v="P040"/>
    <s v="Twitter"/>
    <d v="2025-03-07T00:00:00"/>
    <s v="Image"/>
    <s v="Check out our latest image on twitter!"/>
    <n v="4750"/>
    <n v="151"/>
    <n v="415"/>
    <n v="38000"/>
    <n v="37792"/>
    <n v="299"/>
    <s v="#ThirstyForMore"/>
    <x v="3"/>
    <x v="1"/>
  </r>
  <r>
    <s v="P041"/>
    <s v="Instagram"/>
    <d v="2025-03-08T00:00:00"/>
    <s v="Reel"/>
    <s v="Check out our latest reel on instagram!"/>
    <n v="456"/>
    <n v="629"/>
    <n v="428"/>
    <n v="8208"/>
    <n v="7377"/>
    <n v="205"/>
    <s v="#LiveForNow"/>
    <x v="3"/>
    <x v="1"/>
  </r>
  <r>
    <s v="P042"/>
    <s v="YouTube"/>
    <d v="2025-03-05T00:00:00"/>
    <s v="Reel"/>
    <s v="Check out our latest reel on youtube!"/>
    <n v="1543"/>
    <n v="820"/>
    <n v="333"/>
    <n v="12344"/>
    <n v="11496"/>
    <n v="241"/>
    <s v="#ThirstyForMore"/>
    <x v="4"/>
    <x v="2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#PepsiCoRefresh"/>
    <x v="2"/>
    <x v="0"/>
  </r>
  <r>
    <s v="P044"/>
    <s v="Twitter"/>
    <d v="2025-03-02T00:00:00"/>
    <s v="Image"/>
    <s v="Check out our latest image on twitter!"/>
    <n v="2358"/>
    <n v="784"/>
    <n v="344"/>
    <n v="35370"/>
    <n v="34475"/>
    <n v="216"/>
    <s v="#PepsiCoRefresh"/>
    <x v="4"/>
    <x v="2"/>
  </r>
  <r>
    <s v="P045"/>
    <s v="Facebook"/>
    <d v="2024-11-01T00:00:00"/>
    <s v="Video"/>
    <s v="Check out our latest video on facebook!"/>
    <n v="3371"/>
    <n v="106"/>
    <n v="327"/>
    <n v="50565"/>
    <n v="49816"/>
    <n v="176"/>
    <s v="#LiveForNow"/>
    <x v="0"/>
    <x v="0"/>
  </r>
  <r>
    <s v="P046"/>
    <s v="Twitter"/>
    <d v="2025-05-02T00:00:00"/>
    <s v="Video"/>
    <s v="Check out our latest video on twitter!"/>
    <n v="1108"/>
    <n v="177"/>
    <n v="212"/>
    <n v="8864"/>
    <n v="8710"/>
    <n v="97"/>
    <s v="#PepsiCoRefresh"/>
    <x v="3"/>
    <x v="0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#LiveForNow"/>
    <x v="4"/>
    <x v="2"/>
  </r>
  <r>
    <s v="P048"/>
    <s v="Twitter"/>
    <d v="2025-03-11T00:00:00"/>
    <s v="Story"/>
    <s v="Check out our latest story on twitter!"/>
    <n v="1950"/>
    <n v="295"/>
    <n v="478"/>
    <n v="37050"/>
    <n v="36272"/>
    <n v="119"/>
    <s v="#PepsiCoRefresh"/>
    <x v="4"/>
    <x v="2"/>
  </r>
  <r>
    <s v="P049"/>
    <s v="Twitter"/>
    <d v="2024-06-10T00:00:00"/>
    <s v="Story"/>
    <s v="Check out our latest story on twitter!"/>
    <n v="2164"/>
    <n v="549"/>
    <n v="274"/>
    <n v="28132"/>
    <n v="27361"/>
    <n v="177"/>
    <s v="#PepsiCoRefresh"/>
    <x v="3"/>
    <x v="0"/>
  </r>
  <r>
    <s v="P050"/>
    <s v="YouTube"/>
    <d v="2024-07-03T00:00:00"/>
    <s v="Story"/>
    <s v="Check out our latest story on youtube!"/>
    <n v="2754"/>
    <n v="130"/>
    <n v="90"/>
    <n v="22032"/>
    <n v="21288"/>
    <n v="112"/>
    <s v="#PepsiCoRefresh"/>
    <x v="2"/>
    <x v="0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#LiveForNow"/>
    <x v="1"/>
    <x v="0"/>
  </r>
  <r>
    <s v="P052"/>
    <s v="Facebook"/>
    <d v="2025-01-03T00:00:00"/>
    <s v="Image"/>
    <s v="Check out our latest image on facebook!"/>
    <n v="947"/>
    <n v="338"/>
    <n v="350"/>
    <n v="10417"/>
    <n v="9730"/>
    <n v="34"/>
    <s v="#PepsiCoRefresh"/>
    <x v="3"/>
    <x v="0"/>
  </r>
  <r>
    <s v="P053"/>
    <s v="YouTube"/>
    <d v="2025-02-24T00:00:00"/>
    <s v="Carousel"/>
    <s v="Check out our latest carousel on youtube!"/>
    <n v="804"/>
    <n v="639"/>
    <n v="43"/>
    <n v="4020"/>
    <n v="3144"/>
    <n v="11"/>
    <s v="#ThirstyForMore,#BetterWithPepsi"/>
    <x v="4"/>
    <x v="2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#LiveForNow"/>
    <x v="1"/>
    <x v="0"/>
  </r>
  <r>
    <s v="P055"/>
    <s v="Facebook"/>
    <d v="2024-06-17T00:00:00"/>
    <s v="Image"/>
    <s v="Check out our latest image on facebook!"/>
    <n v="1226"/>
    <n v="119"/>
    <n v="7"/>
    <n v="14712"/>
    <n v="14049"/>
    <n v="123"/>
    <s v="#ThirstyForMore"/>
    <x v="3"/>
    <x v="0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#LiveForNow"/>
    <x v="2"/>
    <x v="0"/>
  </r>
  <r>
    <s v="P057"/>
    <s v="Twitter"/>
    <d v="2024-10-21T00:00:00"/>
    <s v="Video"/>
    <s v="Check out our latest video on twitter!"/>
    <n v="2825"/>
    <n v="535"/>
    <n v="295"/>
    <n v="45200"/>
    <n v="44739"/>
    <n v="169"/>
    <s v="#PepsiCoRefresh"/>
    <x v="0"/>
    <x v="0"/>
  </r>
  <r>
    <s v="P058"/>
    <s v="Instagram"/>
    <d v="2025-04-15T00:00:00"/>
    <s v="Reel"/>
    <s v="Check out our latest reel on instagram!"/>
    <n v="103"/>
    <n v="770"/>
    <n v="19"/>
    <n v="1030"/>
    <n v="410"/>
    <n v="262"/>
    <s v="#PepsiCoRefresh"/>
    <x v="3"/>
    <x v="0"/>
  </r>
  <r>
    <s v="P059"/>
    <s v="Instagram"/>
    <d v="2024-06-22T00:00:00"/>
    <s v="Text"/>
    <s v="Check out our latest text on instagram!"/>
    <n v="2180"/>
    <n v="263"/>
    <n v="387"/>
    <n v="30520"/>
    <n v="30059"/>
    <n v="174"/>
    <s v="#ThirstyForMore"/>
    <x v="4"/>
    <x v="2"/>
  </r>
  <r>
    <s v="P060"/>
    <s v="Instagram"/>
    <d v="2025-01-28T00:00:00"/>
    <s v="Video"/>
    <s v="Check out our latest video on instagram!"/>
    <n v="904"/>
    <n v="973"/>
    <n v="63"/>
    <n v="11752"/>
    <n v="11580"/>
    <n v="84"/>
    <s v="#ThirstyForMore,#PepsiCoRefresh,#AnytimeIsPepsiTime"/>
    <x v="2"/>
    <x v="0"/>
  </r>
  <r>
    <s v="P061"/>
    <s v="Twitter"/>
    <d v="2024-09-05T00:00:00"/>
    <s v="Video"/>
    <s v="Check out our latest video on twitter!"/>
    <n v="4886"/>
    <n v="983"/>
    <n v="409"/>
    <n v="43974"/>
    <n v="43239"/>
    <n v="65"/>
    <s v="#PepsiCoRefresh"/>
    <x v="0"/>
    <x v="0"/>
  </r>
  <r>
    <s v="P062"/>
    <s v="Twitter"/>
    <d v="2024-11-22T00:00:00"/>
    <s v="Carousel"/>
    <s v="Check out our latest carousel on twitter!"/>
    <n v="53"/>
    <n v="81"/>
    <n v="379"/>
    <n v="954"/>
    <n v="7"/>
    <n v="148"/>
    <s v="#PepsiCoRefresh"/>
    <x v="2"/>
    <x v="0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#LiveForNow"/>
    <x v="2"/>
    <x v="0"/>
  </r>
  <r>
    <s v="P064"/>
    <s v="Facebook"/>
    <d v="2024-08-17T00:00:00"/>
    <s v="Image"/>
    <s v="Check out our latest image on facebook!"/>
    <n v="2878"/>
    <n v="248"/>
    <n v="416"/>
    <n v="43170"/>
    <n v="42667"/>
    <n v="75"/>
    <s v="#LiveForNow"/>
    <x v="2"/>
    <x v="0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#ThirstyForMore"/>
    <x v="4"/>
    <x v="2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#ThirstyForMore"/>
    <x v="0"/>
    <x v="0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#ThirstyForMore"/>
    <x v="2"/>
    <x v="0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#ThirstyForMore"/>
    <x v="4"/>
    <x v="2"/>
  </r>
  <r>
    <s v="P069"/>
    <s v="Twitter"/>
    <d v="2025-03-08T00:00:00"/>
    <s v="Text"/>
    <s v="Check out our latest text on twitter!"/>
    <n v="1292"/>
    <n v="626"/>
    <n v="496"/>
    <n v="25840"/>
    <n v="24916"/>
    <n v="149"/>
    <s v="#LiveForNow"/>
    <x v="2"/>
    <x v="0"/>
  </r>
  <r>
    <s v="P070"/>
    <s v="Facebook"/>
    <d v="2025-04-02T00:00:00"/>
    <s v="Video"/>
    <s v="Check out our latest video on facebook!"/>
    <n v="199"/>
    <n v="772"/>
    <n v="400"/>
    <n v="3582"/>
    <n v="2988"/>
    <n v="43"/>
    <s v="#PepsiCoRefresh"/>
    <x v="4"/>
    <x v="2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#PepsiCoRefresh"/>
    <x v="1"/>
    <x v="0"/>
  </r>
  <r>
    <s v="P072"/>
    <s v="YouTube"/>
    <d v="2025-03-03T00:00:00"/>
    <s v="Reel"/>
    <s v="Check out our latest reel on youtube!"/>
    <n v="296"/>
    <n v="60"/>
    <n v="141"/>
    <n v="5624"/>
    <n v="5239"/>
    <n v="88"/>
    <s v="#ThirstyForMore"/>
    <x v="1"/>
    <x v="0"/>
  </r>
  <r>
    <s v="P073"/>
    <s v="Facebook"/>
    <d v="2024-10-18T00:00:00"/>
    <s v="Story"/>
    <s v="Check out our latest story on facebook!"/>
    <n v="4126"/>
    <n v="426"/>
    <n v="486"/>
    <n v="78394"/>
    <n v="77798"/>
    <n v="88"/>
    <s v="#LiveForNow"/>
    <x v="3"/>
    <x v="0"/>
  </r>
  <r>
    <s v="P074"/>
    <s v="YouTube"/>
    <d v="2024-10-28T00:00:00"/>
    <s v="Reel"/>
    <s v="Check out our latest reel on youtube!"/>
    <n v="1855"/>
    <n v="200"/>
    <n v="174"/>
    <n v="16695"/>
    <n v="16330"/>
    <n v="123"/>
    <s v="#PepsiCoRefresh"/>
    <x v="2"/>
    <x v="0"/>
  </r>
  <r>
    <s v="P075"/>
    <s v="Instagram"/>
    <d v="2024-08-01T00:00:00"/>
    <s v="Reel"/>
    <s v="Check out our latest reel on instagram!"/>
    <n v="1674"/>
    <n v="929"/>
    <n v="37"/>
    <n v="21762"/>
    <n v="20998"/>
    <n v="255"/>
    <s v="#PepsiCoRefresh"/>
    <x v="3"/>
    <x v="0"/>
  </r>
  <r>
    <s v="P076"/>
    <s v="Twitter"/>
    <d v="2024-11-07T00:00:00"/>
    <s v="Story"/>
    <s v="Check out our latest story on twitter!"/>
    <n v="1121"/>
    <n v="135"/>
    <n v="18"/>
    <n v="15694"/>
    <n v="14957"/>
    <n v="99"/>
    <s v="#PepsiCoRefresh"/>
    <x v="3"/>
    <x v="0"/>
  </r>
  <r>
    <s v="P077"/>
    <s v="Facebook"/>
    <d v="2025-03-04T00:00:00"/>
    <s v="Story"/>
    <s v="Check out our latest story on facebook!"/>
    <n v="1249"/>
    <n v="116"/>
    <n v="420"/>
    <n v="8743"/>
    <n v="8538"/>
    <n v="63"/>
    <s v="#PepsiCoRefresh"/>
    <x v="4"/>
    <x v="2"/>
  </r>
  <r>
    <s v="P078"/>
    <s v="Twitter"/>
    <d v="2024-06-17T00:00:00"/>
    <s v="Image"/>
    <s v="Check out our latest image on twitter!"/>
    <n v="954"/>
    <n v="324"/>
    <n v="288"/>
    <n v="19080"/>
    <n v="18859"/>
    <n v="21"/>
    <s v="#LiveForNow"/>
    <x v="3"/>
    <x v="0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#ThirstyForMore"/>
    <x v="1"/>
    <x v="1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#LiveForNow"/>
    <x v="4"/>
    <x v="2"/>
  </r>
  <r>
    <s v="P081"/>
    <s v="Instagram"/>
    <d v="2024-10-19T00:00:00"/>
    <s v="Story"/>
    <s v="Check out our latest story on instagram!"/>
    <n v="1816"/>
    <n v="29"/>
    <n v="41"/>
    <n v="19976"/>
    <n v="19262"/>
    <n v="283"/>
    <s v="#PepsiCoRefresh"/>
    <x v="2"/>
    <x v="0"/>
  </r>
  <r>
    <s v="P082"/>
    <s v="Instagram"/>
    <d v="2024-07-24T00:00:00"/>
    <s v="Image"/>
    <s v="Check out our latest image on instagram!"/>
    <n v="725"/>
    <n v="88"/>
    <n v="428"/>
    <n v="14500"/>
    <n v="13637"/>
    <n v="200"/>
    <s v="#LiveForNow,#PepsiCoRefresh,#AnytimeIsPepsiTime"/>
    <x v="2"/>
    <x v="0"/>
  </r>
  <r>
    <s v="P083"/>
    <s v="YouTube"/>
    <d v="2024-10-15T00:00:00"/>
    <s v="Video"/>
    <s v="Check out our latest video on youtube!"/>
    <n v="1094"/>
    <n v="472"/>
    <n v="21"/>
    <n v="9846"/>
    <n v="9609"/>
    <n v="112"/>
    <s v="#ThirstyForMore"/>
    <x v="4"/>
    <x v="2"/>
  </r>
  <r>
    <s v="P084"/>
    <s v="Facebook"/>
    <d v="2024-12-09T00:00:00"/>
    <s v="Image"/>
    <s v="Check out our latest image on facebook!"/>
    <n v="1841"/>
    <n v="851"/>
    <n v="342"/>
    <n v="34979"/>
    <n v="34154"/>
    <n v="255"/>
    <s v="#LiveForNow"/>
    <x v="3"/>
    <x v="0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#LiveForNow"/>
    <x v="0"/>
    <x v="0"/>
  </r>
  <r>
    <s v="P086"/>
    <s v="YouTube"/>
    <d v="2025-01-27T00:00:00"/>
    <s v="Text"/>
    <s v="Check out our latest text on youtube!"/>
    <n v="3428"/>
    <n v="305"/>
    <n v="85"/>
    <n v="58276"/>
    <n v="58052"/>
    <n v="242"/>
    <s v="#ThirstyForMore,#BetterWithPepsi"/>
    <x v="3"/>
    <x v="0"/>
  </r>
  <r>
    <s v="P087"/>
    <s v="Twitter"/>
    <d v="2024-06-06T00:00:00"/>
    <s v="Video"/>
    <s v="Check out our latest video on twitter!"/>
    <n v="1436"/>
    <n v="765"/>
    <n v="496"/>
    <n v="12924"/>
    <n v="12701"/>
    <n v="197"/>
    <s v="#LiveForNow"/>
    <x v="2"/>
    <x v="0"/>
  </r>
  <r>
    <s v="P088"/>
    <s v="Facebook"/>
    <d v="2024-07-07T00:00:00"/>
    <s v="Story"/>
    <s v="Check out our latest story on facebook!"/>
    <n v="302"/>
    <n v="47"/>
    <n v="430"/>
    <n v="5738"/>
    <n v="4890"/>
    <n v="25"/>
    <s v="#PepsiCoRefresh"/>
    <x v="3"/>
    <x v="0"/>
  </r>
  <r>
    <s v="P089"/>
    <s v="Twitter"/>
    <d v="2025-01-10T00:00:00"/>
    <s v="Image"/>
    <s v="Check out our latest image on twitter!"/>
    <n v="2214"/>
    <n v="249"/>
    <n v="152"/>
    <n v="15498"/>
    <n v="14800"/>
    <n v="180"/>
    <s v="#ThirstyForMore"/>
    <x v="4"/>
    <x v="2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#PepsiCoRefresh"/>
    <x v="3"/>
    <x v="0"/>
  </r>
  <r>
    <s v="P091"/>
    <s v="Facebook"/>
    <d v="2025-03-24T00:00:00"/>
    <s v="Image"/>
    <s v="Check out our latest image on facebook!"/>
    <n v="1263"/>
    <n v="397"/>
    <n v="357"/>
    <n v="25260"/>
    <n v="24615"/>
    <n v="137"/>
    <s v="#ThirstyForMore"/>
    <x v="3"/>
    <x v="1"/>
  </r>
  <r>
    <s v="P092"/>
    <s v="Twitter"/>
    <d v="2024-10-21T00:00:00"/>
    <s v="Story"/>
    <s v="Check out our latest story on twitter!"/>
    <n v="3801"/>
    <n v="967"/>
    <n v="401"/>
    <n v="38010"/>
    <n v="37625"/>
    <n v="236"/>
    <s v="#LiveForNow"/>
    <x v="2"/>
    <x v="0"/>
  </r>
  <r>
    <s v="P093"/>
    <s v="Instagram"/>
    <d v="2024-12-11T00:00:00"/>
    <s v="Video"/>
    <s v="Check out our latest video on instagram!"/>
    <n v="1431"/>
    <n v="951"/>
    <n v="26"/>
    <n v="8586"/>
    <n v="8396"/>
    <n v="150"/>
    <s v="#ThirstyForMore"/>
    <x v="2"/>
    <x v="0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#LiveForNow"/>
    <x v="2"/>
    <x v="0"/>
  </r>
  <r>
    <s v="P095"/>
    <s v="Instagram"/>
    <d v="2024-11-08T00:00:00"/>
    <s v="Text"/>
    <s v="Check out our latest text on instagram!"/>
    <n v="3182"/>
    <n v="559"/>
    <n v="160"/>
    <n v="57276"/>
    <n v="56890"/>
    <n v="163"/>
    <s v="#LiveForNow"/>
    <x v="3"/>
    <x v="0"/>
  </r>
  <r>
    <s v="P096"/>
    <s v="Twitter"/>
    <d v="2024-09-10T00:00:00"/>
    <s v="Image"/>
    <s v="Check out our latest image on twitter!"/>
    <n v="1238"/>
    <n v="366"/>
    <n v="444"/>
    <n v="19808"/>
    <n v="19334"/>
    <n v="123"/>
    <s v="#LiveForNow"/>
    <x v="4"/>
    <x v="2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#PepsiCoRefresh,#AnytimeIsPepsiTime"/>
    <x v="1"/>
    <x v="0"/>
  </r>
  <r>
    <s v="P098"/>
    <s v="Twitter"/>
    <d v="2024-06-10T00:00:00"/>
    <s v="Story"/>
    <s v="Check out our latest story on twitter!"/>
    <n v="1575"/>
    <n v="771"/>
    <n v="486"/>
    <n v="25200"/>
    <n v="24826"/>
    <n v="17"/>
    <s v="#LiveForNow"/>
    <x v="3"/>
    <x v="0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#LiveForNow"/>
    <x v="2"/>
    <x v="0"/>
  </r>
  <r>
    <s v="P100"/>
    <s v="YouTube"/>
    <d v="2025-02-10T00:00:00"/>
    <s v="Video"/>
    <s v="Check out our latest video on youtube!"/>
    <n v="1766"/>
    <n v="92"/>
    <n v="424"/>
    <n v="24724"/>
    <n v="24333"/>
    <n v="52"/>
    <s v="#ThirstyForMore"/>
    <x v="4"/>
    <x v="2"/>
  </r>
  <r>
    <s v="P101"/>
    <s v="YouTube"/>
    <d v="2024-10-18T00:00:00"/>
    <s v="Video"/>
    <s v="Check out our latest video on youtube!"/>
    <n v="4450"/>
    <n v="983"/>
    <n v="143"/>
    <n v="75650"/>
    <n v="75008"/>
    <n v="12"/>
    <s v="#LiveForNow"/>
    <x v="2"/>
    <x v="0"/>
  </r>
  <r>
    <s v="P102"/>
    <s v="Twitter"/>
    <d v="2024-09-18T00:00:00"/>
    <s v="Reel"/>
    <s v="Check out our latest reel on twitter!"/>
    <n v="1000"/>
    <n v="978"/>
    <n v="162"/>
    <n v="6000"/>
    <n v="5221"/>
    <n v="223"/>
    <s v="#ThirstyForMore"/>
    <x v="1"/>
    <x v="0"/>
  </r>
  <r>
    <s v="P103"/>
    <s v="Facebook"/>
    <d v="2024-06-11T00:00:00"/>
    <s v="Image"/>
    <s v="Check out our latest image on facebook!"/>
    <n v="3689"/>
    <n v="48"/>
    <n v="306"/>
    <n v="40579"/>
    <n v="39588"/>
    <n v="212"/>
    <s v="#ThirstyForMore"/>
    <x v="1"/>
    <x v="0"/>
  </r>
  <r>
    <s v="P104"/>
    <s v="YouTube"/>
    <d v="2025-03-23T00:00:00"/>
    <s v="Story"/>
    <s v="Check out our latest story on youtube!"/>
    <n v="3655"/>
    <n v="568"/>
    <n v="286"/>
    <n v="32895"/>
    <n v="32015"/>
    <n v="199"/>
    <s v="#PepsiCoRefresh"/>
    <x v="2"/>
    <x v="0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#LiveForNow"/>
    <x v="0"/>
    <x v="0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#PepsiCoRefresh"/>
    <x v="3"/>
    <x v="0"/>
  </r>
  <r>
    <s v="P107"/>
    <s v="YouTube"/>
    <d v="2024-06-21T00:00:00"/>
    <s v="Image"/>
    <s v="Check out our latest image on youtube!"/>
    <n v="4832"/>
    <n v="893"/>
    <n v="10"/>
    <n v="91808"/>
    <n v="91296"/>
    <n v="182"/>
    <s v="#PepsiCoRefresh"/>
    <x v="4"/>
    <x v="2"/>
  </r>
  <r>
    <s v="P108"/>
    <s v="Twitter"/>
    <d v="2025-03-25T00:00:00"/>
    <s v="Video"/>
    <s v="Check out our latest video on twitter!"/>
    <n v="4050"/>
    <n v="871"/>
    <n v="347"/>
    <n v="52650"/>
    <n v="51755"/>
    <n v="209"/>
    <s v="#PepsiCoRefresh"/>
    <x v="1"/>
    <x v="0"/>
  </r>
  <r>
    <s v="P109"/>
    <s v="Twitter"/>
    <d v="2024-08-08T00:00:00"/>
    <s v="Story"/>
    <s v="Check out our latest story on twitter!"/>
    <n v="3649"/>
    <n v="215"/>
    <n v="413"/>
    <n v="25543"/>
    <n v="24963"/>
    <n v="167"/>
    <s v="#LiveForNow"/>
    <x v="2"/>
    <x v="0"/>
  </r>
  <r>
    <s v="P110"/>
    <s v="Instagram"/>
    <d v="2024-07-29T00:00:00"/>
    <s v="Reel"/>
    <s v="Check out our latest reel on instagram!"/>
    <n v="3523"/>
    <n v="753"/>
    <n v="482"/>
    <n v="38753"/>
    <n v="38579"/>
    <n v="270"/>
    <s v="#ThirstyForMore"/>
    <x v="1"/>
    <x v="0"/>
  </r>
  <r>
    <s v="P111"/>
    <s v="YouTube"/>
    <d v="2024-11-23T00:00:00"/>
    <s v="Image"/>
    <s v="Check out our latest image on youtube!"/>
    <n v="2719"/>
    <n v="17"/>
    <n v="285"/>
    <n v="40785"/>
    <n v="40281"/>
    <n v="40"/>
    <s v="#PepsiCoRefresh"/>
    <x v="1"/>
    <x v="0"/>
  </r>
  <r>
    <s v="P112"/>
    <s v="Twitter"/>
    <d v="2024-10-05T00:00:00"/>
    <s v="Story"/>
    <s v="Check out our latest story on twitter!"/>
    <n v="1957"/>
    <n v="877"/>
    <n v="238"/>
    <n v="17613"/>
    <n v="16865"/>
    <n v="297"/>
    <s v="#LiveForNow"/>
    <x v="2"/>
    <x v="0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#ThirstyForMore"/>
    <x v="0"/>
    <x v="0"/>
  </r>
  <r>
    <s v="P114"/>
    <s v="Twitter"/>
    <d v="2024-11-14T00:00:00"/>
    <s v="Story"/>
    <s v="Check out our latest story on twitter!"/>
    <n v="4000"/>
    <n v="689"/>
    <n v="488"/>
    <n v="40000"/>
    <n v="39569"/>
    <n v="44"/>
    <s v="#LiveForNow"/>
    <x v="0"/>
    <x v="0"/>
  </r>
  <r>
    <s v="P115"/>
    <s v="Twitter"/>
    <d v="2025-05-11T00:00:00"/>
    <s v="Image"/>
    <s v="Check out our latest image on twitter!"/>
    <n v="2493"/>
    <n v="97"/>
    <n v="44"/>
    <n v="42381"/>
    <n v="41991"/>
    <n v="242"/>
    <s v="#PepsiCoRefresh,#AnytimeIsPepsiTime"/>
    <x v="3"/>
    <x v="0"/>
  </r>
  <r>
    <s v="P116"/>
    <s v="YouTube"/>
    <d v="2025-03-18T00:00:00"/>
    <s v="Reel"/>
    <s v="Check out our latest reel on youtube!"/>
    <n v="3704"/>
    <n v="186"/>
    <n v="458"/>
    <n v="25928"/>
    <n v="25081"/>
    <n v="131"/>
    <s v="#PepsiCoRefresh"/>
    <x v="4"/>
    <x v="2"/>
  </r>
  <r>
    <s v="P117"/>
    <s v="Twitter"/>
    <d v="2024-11-04T00:00:00"/>
    <s v="Image"/>
    <s v="Check out our latest image on twitter!"/>
    <n v="1606"/>
    <n v="451"/>
    <n v="405"/>
    <n v="20878"/>
    <n v="20190"/>
    <n v="219"/>
    <s v="#ThirstyForMore"/>
    <x v="3"/>
    <x v="0"/>
  </r>
  <r>
    <s v="P118"/>
    <s v="Facebook"/>
    <d v="2024-11-04T00:00:00"/>
    <s v="Image"/>
    <s v="Check out our latest image on facebook!"/>
    <n v="4551"/>
    <n v="714"/>
    <n v="207"/>
    <n v="68265"/>
    <n v="67754"/>
    <n v="57"/>
    <s v="#LiveForNow"/>
    <x v="2"/>
    <x v="0"/>
  </r>
  <r>
    <s v="P119"/>
    <s v="Instagram"/>
    <d v="2025-02-07T00:00:00"/>
    <s v="Reel"/>
    <s v="Check out our latest reel on instagram!"/>
    <n v="1970"/>
    <n v="675"/>
    <n v="478"/>
    <n v="9850"/>
    <n v="8924"/>
    <n v="117"/>
    <s v="#LiveForNow"/>
    <x v="4"/>
    <x v="2"/>
  </r>
  <r>
    <s v="P120"/>
    <s v="Facebook"/>
    <d v="2024-10-21T00:00:00"/>
    <s v="Story"/>
    <s v="Check out our latest story on facebook!"/>
    <n v="780"/>
    <n v="928"/>
    <n v="301"/>
    <n v="8580"/>
    <n v="8081"/>
    <n v="91"/>
    <s v="#ThirstyForMore"/>
    <x v="2"/>
    <x v="0"/>
  </r>
  <r>
    <s v="P121"/>
    <s v="Instagram"/>
    <d v="2024-07-29T00:00:00"/>
    <s v="Story"/>
    <s v="Check out our latest story on instagram!"/>
    <n v="498"/>
    <n v="701"/>
    <n v="412"/>
    <n v="4980"/>
    <n v="4185"/>
    <n v="185"/>
    <s v="#LiveForNow"/>
    <x v="4"/>
    <x v="2"/>
  </r>
  <r>
    <s v="P122"/>
    <s v="Instagram"/>
    <d v="2024-10-02T00:00:00"/>
    <s v="Text"/>
    <s v="Check out our latest text on instagram!"/>
    <n v="3432"/>
    <n v="869"/>
    <n v="123"/>
    <n v="54912"/>
    <n v="53916"/>
    <n v="264"/>
    <s v="#ThirstyForMore"/>
    <x v="1"/>
    <x v="1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#ThirstyForMore"/>
    <x v="0"/>
    <x v="0"/>
  </r>
  <r>
    <s v="P124"/>
    <s v="YouTube"/>
    <d v="2025-04-06T00:00:00"/>
    <s v="Carousel"/>
    <s v="Check out our latest carousel on youtube!"/>
    <n v="736"/>
    <n v="771"/>
    <n v="225"/>
    <n v="5152"/>
    <n v="4706"/>
    <n v="19"/>
    <s v="#ThirstyForMore"/>
    <x v="0"/>
    <x v="0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#PepsiCoRefresh"/>
    <x v="3"/>
    <x v="0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#LiveForNow"/>
    <x v="4"/>
    <x v="2"/>
  </r>
  <r>
    <s v="P127"/>
    <s v="Facebook"/>
    <d v="2025-01-27T00:00:00"/>
    <s v="Reel"/>
    <s v="Check out our latest reel on facebook!"/>
    <n v="3452"/>
    <n v="652"/>
    <n v="442"/>
    <n v="65588"/>
    <n v="65049"/>
    <n v="158"/>
    <s v="#LiveForNow"/>
    <x v="2"/>
    <x v="0"/>
  </r>
  <r>
    <s v="P128"/>
    <s v="Twitter"/>
    <d v="2025-01-10T00:00:00"/>
    <s v="Image"/>
    <s v="Check out our latest image on twitter!"/>
    <n v="3092"/>
    <n v="106"/>
    <n v="291"/>
    <n v="27828"/>
    <n v="27217"/>
    <n v="102"/>
    <s v="#LiveForNow"/>
    <x v="4"/>
    <x v="2"/>
  </r>
  <r>
    <s v="P129"/>
    <s v="Twitter"/>
    <d v="2024-07-21T00:00:00"/>
    <s v="Text"/>
    <s v="Check out our latest text on twitter!"/>
    <n v="2147"/>
    <n v="430"/>
    <n v="393"/>
    <n v="17176"/>
    <n v="16483"/>
    <n v="170"/>
    <s v="#PepsiCoRefresh"/>
    <x v="4"/>
    <x v="2"/>
  </r>
  <r>
    <s v="P130"/>
    <s v="YouTube"/>
    <d v="2024-09-29T00:00:00"/>
    <s v="Reel"/>
    <s v="Check out our latest reel on youtube!"/>
    <n v="2936"/>
    <n v="439"/>
    <n v="44"/>
    <n v="38168"/>
    <n v="37571"/>
    <n v="22"/>
    <s v="#ThirstyForMore"/>
    <x v="3"/>
    <x v="0"/>
  </r>
  <r>
    <s v="P131"/>
    <s v="Instagram"/>
    <d v="2024-10-21T00:00:00"/>
    <s v="Reel"/>
    <s v="Check out our latest reel on instagram!"/>
    <n v="4840"/>
    <n v="658"/>
    <n v="211"/>
    <n v="43560"/>
    <n v="43225"/>
    <n v="57"/>
    <s v="#LiveForNow"/>
    <x v="2"/>
    <x v="0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#LiveForNow"/>
    <x v="1"/>
    <x v="0"/>
  </r>
  <r>
    <s v="P133"/>
    <s v="Facebook"/>
    <d v="2025-02-06T00:00:00"/>
    <s v="Image"/>
    <s v="Check out our latest image on facebook!"/>
    <n v="2072"/>
    <n v="532"/>
    <n v="71"/>
    <n v="37296"/>
    <n v="36467"/>
    <n v="25"/>
    <s v="#PepsiCoRefresh"/>
    <x v="3"/>
    <x v="0"/>
  </r>
  <r>
    <s v="P134"/>
    <s v="Twitter"/>
    <d v="2025-04-24T00:00:00"/>
    <s v="Reel"/>
    <s v="Check out our latest reel on twitter!"/>
    <n v="3731"/>
    <n v="115"/>
    <n v="135"/>
    <n v="55965"/>
    <n v="55436"/>
    <n v="103"/>
    <s v="#PepsiCoRefresh"/>
    <x v="0"/>
    <x v="0"/>
  </r>
  <r>
    <s v="P135"/>
    <s v="Facebook"/>
    <d v="2024-11-28T00:00:00"/>
    <s v="Text"/>
    <s v="Check out our latest text on facebook!"/>
    <n v="4213"/>
    <n v="253"/>
    <n v="434"/>
    <n v="75834"/>
    <n v="75437"/>
    <n v="272"/>
    <s v="#LiveForNow"/>
    <x v="3"/>
    <x v="0"/>
  </r>
  <r>
    <s v="P136"/>
    <s v="Instagram"/>
    <d v="2024-07-11T00:00:00"/>
    <s v="Text"/>
    <s v="Check out our latest text on instagram!"/>
    <n v="3134"/>
    <n v="888"/>
    <n v="444"/>
    <n v="21938"/>
    <n v="21337"/>
    <n v="130"/>
    <s v="#ThirstyForMore"/>
    <x v="3"/>
    <x v="0"/>
  </r>
  <r>
    <s v="P137"/>
    <s v="Facebook"/>
    <d v="2024-07-31T00:00:00"/>
    <s v="Video"/>
    <s v="Check out our latest video on facebook!"/>
    <n v="3008"/>
    <n v="94"/>
    <n v="37"/>
    <n v="15040"/>
    <n v="14639"/>
    <n v="277"/>
    <s v="#LiveForNow"/>
    <x v="4"/>
    <x v="2"/>
  </r>
  <r>
    <s v="P138"/>
    <s v="Twitter"/>
    <d v="2025-03-29T00:00:00"/>
    <s v="Image"/>
    <s v="Check out our latest image on twitter!"/>
    <n v="305"/>
    <n v="187"/>
    <n v="243"/>
    <n v="4575"/>
    <n v="3704"/>
    <n v="234"/>
    <s v="#LiveForNow"/>
    <x v="2"/>
    <x v="0"/>
  </r>
  <r>
    <s v="P139"/>
    <s v="YouTube"/>
    <d v="2024-10-29T00:00:00"/>
    <s v="Text"/>
    <s v="Check out our latest text on youtube!"/>
    <n v="2746"/>
    <n v="156"/>
    <n v="203"/>
    <n v="32952"/>
    <n v="32147"/>
    <n v="147"/>
    <s v="#ThirstyForMore"/>
    <x v="0"/>
    <x v="0"/>
  </r>
  <r>
    <s v="P140"/>
    <s v="Facebook"/>
    <d v="2024-07-15T00:00:00"/>
    <s v="Image"/>
    <s v="Check out our latest image on facebook!"/>
    <n v="2291"/>
    <n v="78"/>
    <n v="485"/>
    <n v="18328"/>
    <n v="18101"/>
    <n v="10"/>
    <s v="#ThirstyForMore,#SmoothLikeNitroPepsi"/>
    <x v="1"/>
    <x v="0"/>
  </r>
  <r>
    <s v="P141"/>
    <s v="Twitter"/>
    <d v="2024-08-31T00:00:00"/>
    <s v="Image"/>
    <s v="Check out our latest image on twitter!"/>
    <n v="3170"/>
    <n v="857"/>
    <n v="379"/>
    <n v="19020"/>
    <n v="18559"/>
    <n v="240"/>
    <s v="#LiveForNow"/>
    <x v="4"/>
    <x v="2"/>
  </r>
  <r>
    <s v="P142"/>
    <s v="YouTube"/>
    <d v="2025-03-25T00:00:00"/>
    <s v="Story"/>
    <s v="Check out our latest story on youtube!"/>
    <n v="2070"/>
    <n v="275"/>
    <n v="386"/>
    <n v="39330"/>
    <n v="38627"/>
    <n v="114"/>
    <s v="#LiveForNow"/>
    <x v="3"/>
    <x v="1"/>
  </r>
  <r>
    <s v="P143"/>
    <s v="YouTube"/>
    <d v="2024-10-02T00:00:00"/>
    <s v="Carousel"/>
    <s v="Check out our latest carousel on youtube!"/>
    <n v="80"/>
    <n v="362"/>
    <n v="80"/>
    <n v="1040"/>
    <n v="349"/>
    <n v="117"/>
    <s v="#PepsiCoRefresh"/>
    <x v="2"/>
    <x v="0"/>
  </r>
  <r>
    <s v="P144"/>
    <s v="YouTube"/>
    <d v="2024-10-28T00:00:00"/>
    <s v="Story"/>
    <s v="Check out our latest story on youtube!"/>
    <n v="4929"/>
    <n v="749"/>
    <n v="452"/>
    <n v="93651"/>
    <n v="92810"/>
    <n v="66"/>
    <s v="#ThirstyForMore"/>
    <x v="3"/>
    <x v="0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#PepsiCoRefresh"/>
    <x v="3"/>
    <x v="0"/>
  </r>
  <r>
    <s v="P146"/>
    <s v="YouTube"/>
    <d v="2024-06-05T00:00:00"/>
    <s v="Reel"/>
    <s v="Check out our latest reel on youtube!"/>
    <n v="3065"/>
    <n v="772"/>
    <n v="142"/>
    <n v="18390"/>
    <n v="17875"/>
    <n v="200"/>
    <s v="#ThirstyForMore,#AnytimeIsPepsiTime"/>
    <x v="4"/>
    <x v="2"/>
  </r>
  <r>
    <s v="P147"/>
    <s v="Instagram"/>
    <d v="2024-10-21T00:00:00"/>
    <s v="Reel"/>
    <s v="Check out our latest reel on instagram!"/>
    <n v="3256"/>
    <n v="459"/>
    <n v="266"/>
    <n v="26048"/>
    <n v="25529"/>
    <n v="143"/>
    <s v="#PepsiCoRefresh"/>
    <x v="1"/>
    <x v="1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#ThirstyForMore"/>
    <x v="3"/>
    <x v="0"/>
  </r>
  <r>
    <s v="P149"/>
    <s v="Twitter"/>
    <d v="2024-06-16T00:00:00"/>
    <s v="Video"/>
    <s v="Check out our latest video on twitter!"/>
    <n v="1702"/>
    <n v="750"/>
    <n v="179"/>
    <n v="34040"/>
    <n v="33174"/>
    <n v="76"/>
    <s v="#ThirstyForMore"/>
    <x v="0"/>
    <x v="1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#PepsiCoRefresh"/>
    <x v="3"/>
    <x v="0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#ThirstyForMore"/>
    <x v="0"/>
    <x v="0"/>
  </r>
  <r>
    <s v="P152"/>
    <s v="Facebook"/>
    <d v="2025-04-22T00:00:00"/>
    <s v="Image"/>
    <s v="Check out our latest image on facebook!"/>
    <n v="4804"/>
    <n v="550"/>
    <n v="270"/>
    <n v="28824"/>
    <n v="28370"/>
    <n v="47"/>
    <s v="#ThirstyForMore"/>
    <x v="3"/>
    <x v="0"/>
  </r>
  <r>
    <s v="P153"/>
    <s v="Twitter"/>
    <d v="2025-01-01T00:00:00"/>
    <s v="Video"/>
    <s v="Check out our latest video on twitter!"/>
    <n v="754"/>
    <n v="197"/>
    <n v="257"/>
    <n v="6786"/>
    <n v="6221"/>
    <n v="212"/>
    <s v="#PepsiCoRefresh"/>
    <x v="2"/>
    <x v="1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#LiveForNow"/>
    <x v="3"/>
    <x v="0"/>
  </r>
  <r>
    <s v="P155"/>
    <s v="YouTube"/>
    <d v="2024-12-21T00:00:00"/>
    <s v="Image"/>
    <s v="Check out our latest image on youtube!"/>
    <n v="2283"/>
    <n v="210"/>
    <n v="130"/>
    <n v="22830"/>
    <n v="22617"/>
    <n v="143"/>
    <s v="#LiveForNow"/>
    <x v="1"/>
    <x v="0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#LiveForNow"/>
    <x v="1"/>
    <x v="1"/>
  </r>
  <r>
    <s v="P157"/>
    <s v="YouTube"/>
    <d v="2024-07-23T00:00:00"/>
    <s v="Story"/>
    <s v="Check out our latest story on youtube!"/>
    <n v="4775"/>
    <n v="173"/>
    <n v="206"/>
    <n v="47750"/>
    <n v="47544"/>
    <n v="187"/>
    <s v="#LiveForNow"/>
    <x v="1"/>
    <x v="0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#PepsiCoRefresh"/>
    <x v="0"/>
    <x v="0"/>
  </r>
  <r>
    <s v="P159"/>
    <s v="Facebook"/>
    <d v="2024-11-25T00:00:00"/>
    <s v="Story"/>
    <s v="Check out our latest story on facebook!"/>
    <n v="2120"/>
    <n v="158"/>
    <n v="488"/>
    <n v="12720"/>
    <n v="12085"/>
    <n v="17"/>
    <s v="#LiveForNow"/>
    <x v="1"/>
    <x v="0"/>
  </r>
  <r>
    <s v="P160"/>
    <s v="Twitter"/>
    <d v="2024-08-24T00:00:00"/>
    <s v="Video"/>
    <s v="Check out our latest video on twitter!"/>
    <n v="1082"/>
    <n v="209"/>
    <n v="484"/>
    <n v="19476"/>
    <n v="18654"/>
    <n v="20"/>
    <s v="#PepsiCoRefresh"/>
    <x v="4"/>
    <x v="2"/>
  </r>
  <r>
    <s v="P161"/>
    <s v="Twitter"/>
    <d v="2025-02-19T00:00:00"/>
    <s v="Text"/>
    <s v="Check out our latest text on twitter!"/>
    <n v="4671"/>
    <n v="876"/>
    <n v="366"/>
    <n v="51381"/>
    <n v="50565"/>
    <n v="245"/>
    <s v="#PepsiCoRefresh"/>
    <x v="3"/>
    <x v="0"/>
  </r>
  <r>
    <s v="P162"/>
    <s v="Facebook"/>
    <d v="2025-04-01T00:00:00"/>
    <s v="Story"/>
    <s v="Check out our latest story on facebook!"/>
    <n v="3430"/>
    <n v="566"/>
    <n v="164"/>
    <n v="48020"/>
    <n v="47305"/>
    <n v="120"/>
    <s v="#LiveForNow"/>
    <x v="4"/>
    <x v="2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#PepsiCoRefresh"/>
    <x v="1"/>
    <x v="0"/>
  </r>
  <r>
    <s v="P164"/>
    <s v="YouTube"/>
    <d v="2025-02-27T00:00:00"/>
    <s v="Text"/>
    <s v="Check out our latest text on youtube!"/>
    <n v="4934"/>
    <n v="971"/>
    <n v="156"/>
    <n v="39472"/>
    <n v="39025"/>
    <n v="169"/>
    <s v="#PepsiCoRefresh,#AnytimeIsPepsiTime"/>
    <x v="3"/>
    <x v="0"/>
  </r>
  <r>
    <s v="P165"/>
    <s v="Twitter"/>
    <d v="2024-12-11T00:00:00"/>
    <s v="Text"/>
    <s v="Check out our latest text on twitter!"/>
    <n v="3239"/>
    <n v="43"/>
    <n v="211"/>
    <n v="22673"/>
    <n v="22171"/>
    <n v="230"/>
    <s v="#PepsiCoRefresh"/>
    <x v="1"/>
    <x v="0"/>
  </r>
  <r>
    <s v="P166"/>
    <s v="Twitter"/>
    <d v="2025-02-16T00:00:00"/>
    <s v="Reel"/>
    <s v="Check out our latest reel on twitter!"/>
    <n v="1076"/>
    <n v="313"/>
    <n v="306"/>
    <n v="11836"/>
    <n v="11596"/>
    <n v="104"/>
    <s v="#LiveForNow"/>
    <x v="0"/>
    <x v="0"/>
  </r>
  <r>
    <s v="P167"/>
    <s v="Instagram"/>
    <d v="2024-11-28T00:00:00"/>
    <s v="Text"/>
    <s v="Check out our latest text on instagram!"/>
    <n v="4771"/>
    <n v="818"/>
    <n v="56"/>
    <n v="57252"/>
    <n v="56378"/>
    <n v="150"/>
    <s v="#LiveForNow"/>
    <x v="4"/>
    <x v="2"/>
  </r>
  <r>
    <s v="P168"/>
    <s v="Facebook"/>
    <d v="2024-11-12T00:00:00"/>
    <s v="Text"/>
    <s v="Check out our latest text on facebook!"/>
    <n v="2418"/>
    <n v="754"/>
    <n v="54"/>
    <n v="43524"/>
    <n v="42743"/>
    <n v="182"/>
    <s v="#ThirstyForMore"/>
    <x v="0"/>
    <x v="0"/>
  </r>
  <r>
    <s v="P169"/>
    <s v="YouTube"/>
    <d v="2024-12-03T00:00:00"/>
    <s v="Video"/>
    <s v="Check out our latest video on youtube!"/>
    <n v="3809"/>
    <n v="273"/>
    <n v="200"/>
    <n v="34281"/>
    <n v="33534"/>
    <n v="83"/>
    <s v="#ThirstyForMore"/>
    <x v="0"/>
    <x v="0"/>
  </r>
  <r>
    <s v="P170"/>
    <s v="Twitter"/>
    <d v="2025-04-28T00:00:00"/>
    <s v="Text"/>
    <s v="Check out our latest text on twitter!"/>
    <n v="3577"/>
    <n v="596"/>
    <n v="493"/>
    <n v="67963"/>
    <n v="67839"/>
    <n v="53"/>
    <s v="#PepsiCoRefresh"/>
    <x v="2"/>
    <x v="0"/>
  </r>
  <r>
    <s v="P171"/>
    <s v="YouTube"/>
    <d v="2024-12-31T00:00:00"/>
    <s v="Video"/>
    <s v="Check out our latest video on youtube!"/>
    <n v="1018"/>
    <n v="447"/>
    <n v="332"/>
    <n v="18324"/>
    <n v="18164"/>
    <n v="38"/>
    <s v="#LiveForNow"/>
    <x v="1"/>
    <x v="0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#ThirstyForMore"/>
    <x v="2"/>
    <x v="0"/>
  </r>
  <r>
    <s v="P173"/>
    <s v="Twitter"/>
    <d v="2024-12-05T00:00:00"/>
    <s v="Video"/>
    <s v="Check out our latest video on twitter!"/>
    <n v="1330"/>
    <n v="925"/>
    <n v="35"/>
    <n v="15960"/>
    <n v="15379"/>
    <n v="229"/>
    <s v="#LiveForNow"/>
    <x v="2"/>
    <x v="0"/>
  </r>
  <r>
    <s v="P174"/>
    <s v="Facebook"/>
    <d v="2024-06-22T00:00:00"/>
    <s v="Text"/>
    <s v="Check out our latest text on facebook!"/>
    <n v="3828"/>
    <n v="148"/>
    <n v="253"/>
    <n v="30624"/>
    <n v="30229"/>
    <n v="235"/>
    <s v="#ThirstyForMore"/>
    <x v="4"/>
    <x v="2"/>
  </r>
  <r>
    <s v="P175"/>
    <s v="Instagram"/>
    <d v="2025-01-17T00:00:00"/>
    <s v="Reel"/>
    <s v="Check out our latest reel on instagram!"/>
    <n v="142"/>
    <n v="784"/>
    <n v="183"/>
    <n v="1704"/>
    <n v="995"/>
    <n v="154"/>
    <s v="#LiveForNow"/>
    <x v="3"/>
    <x v="0"/>
  </r>
  <r>
    <s v="P176"/>
    <s v="Facebook"/>
    <d v="2024-06-20T00:00:00"/>
    <s v="Video"/>
    <s v="Check out our latest video on facebook!"/>
    <n v="3798"/>
    <n v="31"/>
    <n v="279"/>
    <n v="75960"/>
    <n v="75813"/>
    <n v="266"/>
    <s v="#PepsiCoRefresh"/>
    <x v="0"/>
    <x v="1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#PepsiCoRefresh"/>
    <x v="2"/>
    <x v="0"/>
  </r>
  <r>
    <s v="P178"/>
    <s v="Instagram"/>
    <d v="2024-11-07T00:00:00"/>
    <s v="Video"/>
    <s v="Check out our latest video on instagram!"/>
    <n v="129"/>
    <n v="643"/>
    <n v="136"/>
    <n v="1290"/>
    <n v="839"/>
    <n v="238"/>
    <s v="#PepsiCoRefresh"/>
    <x v="3"/>
    <x v="0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#PepsiCoRefresh"/>
    <x v="4"/>
    <x v="2"/>
  </r>
  <r>
    <s v="P180"/>
    <s v="YouTube"/>
    <d v="2024-12-03T00:00:00"/>
    <s v="Text"/>
    <s v="Check out our latest text on youtube!"/>
    <n v="3711"/>
    <n v="352"/>
    <n v="290"/>
    <n v="48243"/>
    <n v="47579"/>
    <n v="11"/>
    <s v="#PepsiCoRefresh"/>
    <x v="0"/>
    <x v="0"/>
  </r>
  <r>
    <s v="P181"/>
    <s v="YouTube"/>
    <d v="2025-03-21T00:00:00"/>
    <s v="Image"/>
    <s v="Check out our latest image on youtube!"/>
    <n v="606"/>
    <n v="789"/>
    <n v="470"/>
    <n v="7878"/>
    <n v="7389"/>
    <n v="239"/>
    <s v="#ThirstyForMore"/>
    <x v="2"/>
    <x v="0"/>
  </r>
  <r>
    <s v="P182"/>
    <s v="Facebook"/>
    <d v="2024-07-31T00:00:00"/>
    <s v="Image"/>
    <s v="Check out our latest image on facebook!"/>
    <n v="4689"/>
    <n v="134"/>
    <n v="403"/>
    <n v="51579"/>
    <n v="50924"/>
    <n v="173"/>
    <s v="#PepsiCoRefresh"/>
    <x v="3"/>
    <x v="0"/>
  </r>
  <r>
    <s v="P183"/>
    <s v="Instagram"/>
    <d v="2024-12-17T00:00:00"/>
    <s v="Story"/>
    <s v="Check out our latest story on instagram!"/>
    <n v="360"/>
    <n v="590"/>
    <n v="393"/>
    <n v="4680"/>
    <n v="4322"/>
    <n v="208"/>
    <s v="#LiveForNow"/>
    <x v="1"/>
    <x v="0"/>
  </r>
  <r>
    <s v="P184"/>
    <s v="Twitter"/>
    <d v="2024-07-28T00:00:00"/>
    <s v="Image"/>
    <s v="Check out our latest image on twitter!"/>
    <n v="3215"/>
    <n v="960"/>
    <n v="202"/>
    <n v="32150"/>
    <n v="31404"/>
    <n v="251"/>
    <s v="#ThirstyForMore"/>
    <x v="0"/>
    <x v="0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#ThirstyForMore"/>
    <x v="4"/>
    <x v="2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#ThirstyForMore"/>
    <x v="2"/>
    <x v="0"/>
  </r>
  <r>
    <s v="P187"/>
    <s v="Twitter"/>
    <d v="2024-12-22T00:00:00"/>
    <s v="Reel"/>
    <s v="Check out our latest reel on twitter!"/>
    <n v="1644"/>
    <n v="546"/>
    <n v="150"/>
    <n v="27948"/>
    <n v="27184"/>
    <n v="300"/>
    <s v="#ThirstyForMore"/>
    <x v="2"/>
    <x v="0"/>
  </r>
  <r>
    <s v="P188"/>
    <s v="YouTube"/>
    <d v="2024-06-06T00:00:00"/>
    <s v="Reel"/>
    <s v="Check out our latest reel on youtube!"/>
    <n v="2728"/>
    <n v="533"/>
    <n v="215"/>
    <n v="40920"/>
    <n v="40816"/>
    <n v="137"/>
    <s v="#LiveForNow"/>
    <x v="1"/>
    <x v="0"/>
  </r>
  <r>
    <s v="P189"/>
    <s v="Facebook"/>
    <d v="2025-03-24T00:00:00"/>
    <s v="Reel"/>
    <s v="Check out our latest reel on facebook!"/>
    <n v="3360"/>
    <n v="525"/>
    <n v="500"/>
    <n v="60480"/>
    <n v="59610"/>
    <n v="192"/>
    <s v="#PepsiCoRefresh"/>
    <x v="0"/>
    <x v="0"/>
  </r>
  <r>
    <s v="P190"/>
    <s v="YouTube"/>
    <d v="2024-10-04T00:00:00"/>
    <s v="Text"/>
    <s v="Check out our latest text on youtube!"/>
    <n v="1963"/>
    <n v="213"/>
    <n v="19"/>
    <n v="39260"/>
    <n v="38771"/>
    <n v="145"/>
    <s v="#LiveForNow"/>
    <x v="4"/>
    <x v="2"/>
  </r>
  <r>
    <s v="P191"/>
    <s v="YouTube"/>
    <d v="2024-12-03T00:00:00"/>
    <s v="Story"/>
    <s v="Check out our latest story on youtube!"/>
    <n v="4285"/>
    <n v="886"/>
    <n v="376"/>
    <n v="55705"/>
    <n v="55556"/>
    <n v="51"/>
    <s v="#LiveForNow"/>
    <x v="2"/>
    <x v="0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#ThirstyForMore"/>
    <x v="4"/>
    <x v="2"/>
  </r>
  <r>
    <s v="P193"/>
    <s v="Twitter"/>
    <d v="2024-09-11T00:00:00"/>
    <s v="Image"/>
    <s v="Check out our latest image on twitter!"/>
    <n v="4858"/>
    <n v="317"/>
    <n v="129"/>
    <n v="53438"/>
    <n v="52687"/>
    <n v="223"/>
    <s v="#ThirstyForMore"/>
    <x v="2"/>
    <x v="0"/>
  </r>
  <r>
    <s v="P194"/>
    <s v="YouTube"/>
    <d v="2024-10-02T00:00:00"/>
    <s v="Story"/>
    <s v="Check out our latest story on youtube!"/>
    <n v="4350"/>
    <n v="771"/>
    <n v="7"/>
    <n v="60900"/>
    <n v="60592"/>
    <n v="195"/>
    <s v="#ThirstyForMore"/>
    <x v="0"/>
    <x v="0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#LiveForNow,#PepsiCoRefresh,#AnytimeIsPepsiTime"/>
    <x v="3"/>
    <x v="0"/>
  </r>
  <r>
    <s v="P196"/>
    <s v="Instagram"/>
    <d v="2024-12-19T00:00:00"/>
    <s v="Text"/>
    <s v="Check out our latest text on instagram!"/>
    <n v="1813"/>
    <n v="623"/>
    <n v="72"/>
    <n v="19943"/>
    <n v="18959"/>
    <n v="85"/>
    <s v="#ThirstyForMore"/>
    <x v="2"/>
    <x v="0"/>
  </r>
  <r>
    <s v="P197"/>
    <s v="Twitter"/>
    <d v="2024-10-22T00:00:00"/>
    <s v="Reel"/>
    <s v="Check out our latest reel on twitter!"/>
    <n v="4782"/>
    <n v="721"/>
    <n v="82"/>
    <n v="86076"/>
    <n v="85339"/>
    <n v="19"/>
    <s v="#ThirstyForMore"/>
    <x v="0"/>
    <x v="0"/>
  </r>
  <r>
    <s v="P198"/>
    <s v="Twitter"/>
    <d v="2024-09-14T00:00:00"/>
    <s v="Image"/>
    <s v="Check out our latest image on twitter!"/>
    <n v="1048"/>
    <n v="374"/>
    <n v="450"/>
    <n v="9432"/>
    <n v="8882"/>
    <n v="158"/>
    <s v="#PepsiCoRefresh"/>
    <x v="2"/>
    <x v="0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#PepsiCoRefresh"/>
    <x v="1"/>
    <x v="0"/>
  </r>
  <r>
    <s v="P200"/>
    <s v="Facebook"/>
    <d v="2025-04-07T00:00:00"/>
    <s v="Reel"/>
    <s v="Check out our latest reel on facebook!"/>
    <n v="3718"/>
    <n v="385"/>
    <n v="310"/>
    <n v="70642"/>
    <n v="69749"/>
    <n v="233"/>
    <s v="#PepsiCoRefresh"/>
    <x v="1"/>
    <x v="0"/>
  </r>
  <r>
    <s v="P201"/>
    <s v="Twitter"/>
    <d v="2025-01-15T00:00:00"/>
    <s v="Reel"/>
    <s v="Check out our latest reel on twitter!"/>
    <n v="802"/>
    <n v="262"/>
    <n v="244"/>
    <n v="14436"/>
    <n v="14280"/>
    <n v="49"/>
    <s v="#ThirstyForMore"/>
    <x v="0"/>
    <x v="0"/>
  </r>
  <r>
    <s v="P202"/>
    <s v="Facebook"/>
    <d v="2024-06-02T00:00:00"/>
    <s v="Image"/>
    <s v="Check out our latest image on facebook!"/>
    <n v="1871"/>
    <n v="252"/>
    <n v="335"/>
    <n v="29936"/>
    <n v="29576"/>
    <n v="288"/>
    <s v="#ThirstyForMore"/>
    <x v="2"/>
    <x v="0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#LiveForNow"/>
    <x v="0"/>
    <x v="0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#LiveForNow"/>
    <x v="2"/>
    <x v="1"/>
  </r>
  <r>
    <s v="P205"/>
    <s v="Twitter"/>
    <d v="2025-04-24T00:00:00"/>
    <s v="Video"/>
    <s v="Check out our latest video on twitter!"/>
    <n v="3820"/>
    <n v="697"/>
    <n v="268"/>
    <n v="45840"/>
    <n v="45631"/>
    <n v="171"/>
    <s v="#PepsiCoRefresh,#SmoothLikeNitroPepsi"/>
    <x v="3"/>
    <x v="0"/>
  </r>
  <r>
    <s v="P206"/>
    <s v="Twitter"/>
    <d v="2024-06-24T00:00:00"/>
    <s v="Text"/>
    <s v="Check out our latest text on twitter!"/>
    <n v="941"/>
    <n v="121"/>
    <n v="458"/>
    <n v="14115"/>
    <n v="13838"/>
    <n v="87"/>
    <s v="#ThirstyForMore"/>
    <x v="0"/>
    <x v="1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#PepsiCoRefresh,#SmoothLikeNitroPepsi"/>
    <x v="2"/>
    <x v="1"/>
  </r>
  <r>
    <s v="P208"/>
    <s v="YouTube"/>
    <d v="2024-06-24T00:00:00"/>
    <s v="Video"/>
    <s v="Check out our latest video on youtube!"/>
    <n v="2949"/>
    <n v="476"/>
    <n v="403"/>
    <n v="44235"/>
    <n v="43705"/>
    <n v="135"/>
    <s v="#PepsiCoRefresh"/>
    <x v="1"/>
    <x v="0"/>
  </r>
  <r>
    <s v="P209"/>
    <s v="Twitter"/>
    <d v="2025-03-19T00:00:00"/>
    <s v="Video"/>
    <s v="Check out our latest video on twitter!"/>
    <n v="3160"/>
    <n v="204"/>
    <n v="297"/>
    <n v="44240"/>
    <n v="43666"/>
    <n v="49"/>
    <s v="#LiveForNow,#AnytimeIsPepsiTime"/>
    <x v="3"/>
    <x v="1"/>
  </r>
  <r>
    <s v="P210"/>
    <s v="YouTube"/>
    <d v="2025-02-19T00:00:00"/>
    <s v="Image"/>
    <s v="Check out our latest image on youtube!"/>
    <n v="257"/>
    <n v="966"/>
    <n v="398"/>
    <n v="3341"/>
    <n v="2753"/>
    <n v="287"/>
    <s v="#LiveForNow"/>
    <x v="0"/>
    <x v="0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#LiveForNow"/>
    <x v="3"/>
    <x v="0"/>
  </r>
  <r>
    <s v="P212"/>
    <s v="YouTube"/>
    <d v="2025-03-03T00:00:00"/>
    <s v="Video"/>
    <s v="Check out our latest video on youtube!"/>
    <n v="3874"/>
    <n v="884"/>
    <n v="19"/>
    <n v="38740"/>
    <n v="38552"/>
    <n v="219"/>
    <s v="#PepsiCoRefresh"/>
    <x v="1"/>
    <x v="0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#ThirstyForMore"/>
    <x v="3"/>
    <x v="0"/>
  </r>
  <r>
    <s v="P214"/>
    <s v="Instagram"/>
    <d v="2024-12-23T00:00:00"/>
    <s v="Image"/>
    <s v="Check out our latest image on instagram!"/>
    <n v="521"/>
    <n v="746"/>
    <n v="315"/>
    <n v="4168"/>
    <n v="3399"/>
    <n v="282"/>
    <s v="#LiveForNow"/>
    <x v="1"/>
    <x v="0"/>
  </r>
  <r>
    <s v="P215"/>
    <s v="Facebook"/>
    <d v="2025-05-06T00:00:00"/>
    <s v="Image"/>
    <s v="Check out our latest image on facebook!"/>
    <n v="4872"/>
    <n v="925"/>
    <n v="176"/>
    <n v="82824"/>
    <n v="82543"/>
    <n v="89"/>
    <s v="#ThirstyForMore"/>
    <x v="1"/>
    <x v="0"/>
  </r>
  <r>
    <s v="P216"/>
    <s v="YouTube"/>
    <d v="2024-07-29T00:00:00"/>
    <s v="Story"/>
    <s v="Check out our latest story on youtube!"/>
    <n v="1509"/>
    <n v="88"/>
    <n v="163"/>
    <n v="30180"/>
    <n v="29689"/>
    <n v="119"/>
    <s v="#ThirstyForMore"/>
    <x v="1"/>
    <x v="0"/>
  </r>
  <r>
    <s v="P217"/>
    <s v="Facebook"/>
    <d v="2024-12-03T00:00:00"/>
    <s v="Image"/>
    <s v="Check out our latest image on facebook!"/>
    <n v="4606"/>
    <n v="931"/>
    <n v="230"/>
    <n v="92120"/>
    <n v="91440"/>
    <n v="56"/>
    <s v="#PepsiCoRefresh"/>
    <x v="4"/>
    <x v="2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#PepsiCoRefresh"/>
    <x v="3"/>
    <x v="0"/>
  </r>
  <r>
    <s v="P219"/>
    <s v="Twitter"/>
    <d v="2025-01-28T00:00:00"/>
    <s v="Reel"/>
    <s v="Check out our latest reel on twitter!"/>
    <n v="1188"/>
    <n v="470"/>
    <n v="174"/>
    <n v="7128"/>
    <n v="6145"/>
    <n v="270"/>
    <s v="#PepsiCoRefresh"/>
    <x v="3"/>
    <x v="0"/>
  </r>
  <r>
    <s v="P220"/>
    <s v="Instagram"/>
    <d v="2024-06-02T00:00:00"/>
    <s v="Story"/>
    <s v="Check out our latest story on instagram!"/>
    <n v="84"/>
    <n v="897"/>
    <n v="85"/>
    <n v="588"/>
    <n v="8"/>
    <n v="12"/>
    <s v="#ThirstyForMore"/>
    <x v="4"/>
    <x v="2"/>
  </r>
  <r>
    <s v="P221"/>
    <s v="Facebook"/>
    <d v="2025-03-23T00:00:00"/>
    <s v="Video"/>
    <s v="Check out our latest video on facebook!"/>
    <n v="4453"/>
    <n v="111"/>
    <n v="420"/>
    <n v="31171"/>
    <n v="30565"/>
    <n v="23"/>
    <s v="#PepsiCoRefresh"/>
    <x v="4"/>
    <x v="2"/>
  </r>
  <r>
    <s v="P222"/>
    <s v="Facebook"/>
    <d v="2024-10-08T00:00:00"/>
    <s v="Reel"/>
    <s v="Check out our latest reel on facebook!"/>
    <n v="1814"/>
    <n v="653"/>
    <n v="363"/>
    <n v="25396"/>
    <n v="25286"/>
    <n v="39"/>
    <s v="#LiveForNow,#SmoothLikeNitroPepsi"/>
    <x v="0"/>
    <x v="0"/>
  </r>
  <r>
    <s v="P223"/>
    <s v="Twitter"/>
    <d v="2024-11-12T00:00:00"/>
    <s v="Image"/>
    <s v="Check out our latest image on twitter!"/>
    <n v="3338"/>
    <n v="277"/>
    <n v="118"/>
    <n v="60084"/>
    <n v="59842"/>
    <n v="252"/>
    <s v="#PepsiCoRefresh"/>
    <x v="4"/>
    <x v="2"/>
  </r>
  <r>
    <s v="P224"/>
    <s v="Facebook"/>
    <d v="2025-05-13T00:00:00"/>
    <s v="Image"/>
    <s v="Check out our latest image on facebook!"/>
    <n v="602"/>
    <n v="594"/>
    <n v="156"/>
    <n v="4214"/>
    <n v="3363"/>
    <n v="164"/>
    <s v="#PepsiCoRefresh"/>
    <x v="2"/>
    <x v="0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#ThirstyForMore"/>
    <x v="4"/>
    <x v="2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#PepsiCoRefresh"/>
    <x v="4"/>
    <x v="2"/>
  </r>
  <r>
    <s v="P227"/>
    <s v="Instagram"/>
    <d v="2024-06-12T00:00:00"/>
    <s v="Text"/>
    <s v="Check out our latest text on instagram!"/>
    <n v="246"/>
    <n v="149"/>
    <n v="130"/>
    <n v="4674"/>
    <n v="4390"/>
    <n v="217"/>
    <s v="#LiveForNow"/>
    <x v="2"/>
    <x v="0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#ThirstyForMore"/>
    <x v="0"/>
    <x v="1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#PepsiCoRefresh"/>
    <x v="4"/>
    <x v="2"/>
  </r>
  <r>
    <s v="P230"/>
    <s v="Facebook"/>
    <d v="2024-07-15T00:00:00"/>
    <s v="Reel"/>
    <s v="Check out our latest reel on facebook!"/>
    <n v="3663"/>
    <n v="17"/>
    <n v="295"/>
    <n v="51282"/>
    <n v="50567"/>
    <n v="84"/>
    <s v="#ThirstyForMore"/>
    <x v="2"/>
    <x v="0"/>
  </r>
  <r>
    <s v="P231"/>
    <s v="Instagram"/>
    <d v="2025-05-01T00:00:00"/>
    <s v="Text"/>
    <s v="Check out our latest text on instagram!"/>
    <n v="1430"/>
    <n v="376"/>
    <n v="33"/>
    <n v="21450"/>
    <n v="20509"/>
    <n v="251"/>
    <s v="#LiveForNow"/>
    <x v="0"/>
    <x v="0"/>
  </r>
  <r>
    <s v="P232"/>
    <s v="Twitter"/>
    <d v="2025-04-29T00:00:00"/>
    <s v="Story"/>
    <s v="Check out our latest story on twitter!"/>
    <n v="249"/>
    <n v="592"/>
    <n v="230"/>
    <n v="1494"/>
    <n v="1044"/>
    <n v="201"/>
    <s v="#ThirstyForMore"/>
    <x v="3"/>
    <x v="0"/>
  </r>
  <r>
    <s v="P233"/>
    <s v="Facebook"/>
    <d v="2025-03-08T00:00:00"/>
    <s v="Image"/>
    <s v="Check out our latest image on facebook!"/>
    <n v="2382"/>
    <n v="265"/>
    <n v="134"/>
    <n v="38112"/>
    <n v="37437"/>
    <n v="249"/>
    <s v="#LiveForNow"/>
    <x v="3"/>
    <x v="1"/>
  </r>
  <r>
    <s v="P234"/>
    <s v="Facebook"/>
    <d v="2024-06-01T00:00:00"/>
    <s v="Text"/>
    <s v="Check out our latest text on facebook!"/>
    <n v="1272"/>
    <n v="465"/>
    <n v="99"/>
    <n v="24168"/>
    <n v="23719"/>
    <n v="42"/>
    <s v="#PepsiCoRefresh"/>
    <x v="4"/>
    <x v="2"/>
  </r>
  <r>
    <s v="P235"/>
    <s v="Facebook"/>
    <d v="2024-12-22T00:00:00"/>
    <s v="Image"/>
    <s v="Check out our latest image on facebook!"/>
    <n v="3196"/>
    <n v="941"/>
    <n v="376"/>
    <n v="35156"/>
    <n v="34444"/>
    <n v="241"/>
    <s v="#PepsiCoRefresh"/>
    <x v="2"/>
    <x v="0"/>
  </r>
  <r>
    <s v="P236"/>
    <s v="Facebook"/>
    <d v="2024-08-19T00:00:00"/>
    <s v="Text"/>
    <s v="Check out our latest text on facebook!"/>
    <n v="1257"/>
    <n v="19"/>
    <n v="351"/>
    <n v="12570"/>
    <n v="11660"/>
    <n v="194"/>
    <s v="#LiveForNow,#AnytimeIsPepsiTime,#ThirstyForMore"/>
    <x v="1"/>
    <x v="0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#LiveForNow"/>
    <x v="0"/>
    <x v="0"/>
  </r>
  <r>
    <s v="P238"/>
    <s v="Twitter"/>
    <d v="2024-07-16T00:00:00"/>
    <s v="Text"/>
    <s v="Check out our latest text on twitter!"/>
    <n v="4725"/>
    <n v="400"/>
    <n v="362"/>
    <n v="75600"/>
    <n v="74927"/>
    <n v="43"/>
    <s v="#LiveForNow"/>
    <x v="3"/>
    <x v="0"/>
  </r>
  <r>
    <s v="P239"/>
    <s v="YouTube"/>
    <d v="2025-02-24T00:00:00"/>
    <s v="Text"/>
    <s v="Check out our latest text on youtube!"/>
    <n v="4188"/>
    <n v="942"/>
    <n v="118"/>
    <n v="20940"/>
    <n v="20471"/>
    <n v="102"/>
    <s v="#LiveForNow"/>
    <x v="4"/>
    <x v="2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#ThirstyForMore,#PepsiCoRefresh,#AnytimeIsPepsiTime"/>
    <x v="2"/>
    <x v="0"/>
  </r>
  <r>
    <s v="P241"/>
    <s v="Facebook"/>
    <d v="2025-01-18T00:00:00"/>
    <s v="Story"/>
    <s v="Check out our latest story on facebook!"/>
    <n v="4321"/>
    <n v="874"/>
    <n v="172"/>
    <n v="30247"/>
    <n v="29254"/>
    <n v="122"/>
    <s v="#PepsiCoRefresh"/>
    <x v="3"/>
    <x v="0"/>
  </r>
  <r>
    <s v="P242"/>
    <s v="Facebook"/>
    <d v="2024-07-07T00:00:00"/>
    <s v="Reel"/>
    <s v="Check out our latest reel on facebook!"/>
    <n v="4767"/>
    <n v="190"/>
    <n v="340"/>
    <n v="28602"/>
    <n v="28044"/>
    <n v="210"/>
    <s v="#ThirstyForMore"/>
    <x v="2"/>
    <x v="0"/>
  </r>
  <r>
    <s v="P243"/>
    <s v="Twitter"/>
    <d v="2025-03-06T00:00:00"/>
    <s v="Image"/>
    <s v="Check out our latest image on twitter!"/>
    <n v="3592"/>
    <n v="911"/>
    <n v="375"/>
    <n v="50288"/>
    <n v="49490"/>
    <n v="32"/>
    <s v="#LiveForNow"/>
    <x v="3"/>
    <x v="1"/>
  </r>
  <r>
    <s v="P244"/>
    <s v="YouTube"/>
    <d v="2024-10-25T00:00:00"/>
    <s v="Video"/>
    <s v="Check out our latest video on youtube!"/>
    <n v="4661"/>
    <n v="935"/>
    <n v="433"/>
    <n v="23305"/>
    <n v="22583"/>
    <n v="63"/>
    <s v="#LiveForNow"/>
    <x v="2"/>
    <x v="0"/>
  </r>
  <r>
    <s v="P245"/>
    <s v="Facebook"/>
    <d v="2025-01-12T00:00:00"/>
    <s v="Reel"/>
    <s v="Check out our latest reel on facebook!"/>
    <n v="4134"/>
    <n v="824"/>
    <n v="99"/>
    <n v="41340"/>
    <n v="41050"/>
    <n v="177"/>
    <s v="#ThirstyForMore"/>
    <x v="0"/>
    <x v="0"/>
  </r>
  <r>
    <s v="P246"/>
    <s v="Facebook"/>
    <d v="2024-10-11T00:00:00"/>
    <s v="Image"/>
    <s v="Check out our latest image on facebook!"/>
    <n v="400"/>
    <n v="680"/>
    <n v="434"/>
    <n v="6400"/>
    <n v="5472"/>
    <n v="160"/>
    <s v="#LiveForNow"/>
    <x v="1"/>
    <x v="1"/>
  </r>
  <r>
    <s v="P247"/>
    <s v="Facebook"/>
    <d v="2024-08-27T00:00:00"/>
    <s v="Reel"/>
    <s v="Check out our latest reel on facebook!"/>
    <n v="3960"/>
    <n v="266"/>
    <n v="8"/>
    <n v="35640"/>
    <n v="34850"/>
    <n v="208"/>
    <s v="#LiveForNow,#ThirstyForMore,#BetterWithPepsi"/>
    <x v="4"/>
    <x v="2"/>
  </r>
  <r>
    <s v="P248"/>
    <s v="Facebook"/>
    <d v="2025-02-02T00:00:00"/>
    <s v="Story"/>
    <s v="Check out our latest story on facebook!"/>
    <n v="886"/>
    <n v="126"/>
    <n v="153"/>
    <n v="4430"/>
    <n v="4037"/>
    <n v="212"/>
    <s v="#ThirstyForMore"/>
    <x v="4"/>
    <x v="2"/>
  </r>
  <r>
    <s v="P249"/>
    <s v="Twitter"/>
    <d v="2024-07-18T00:00:00"/>
    <s v="Image"/>
    <s v="Check out our latest image on twitter!"/>
    <n v="827"/>
    <n v="77"/>
    <n v="402"/>
    <n v="14886"/>
    <n v="14129"/>
    <n v="254"/>
    <s v="#ThirstyForMore"/>
    <x v="1"/>
    <x v="0"/>
  </r>
  <r>
    <s v="P250"/>
    <s v="Facebook"/>
    <d v="2024-06-22T00:00:00"/>
    <s v="Reel"/>
    <s v="Check out our latest reel on facebook!"/>
    <n v="3813"/>
    <n v="935"/>
    <n v="274"/>
    <n v="68634"/>
    <n v="68488"/>
    <n v="251"/>
    <s v="#LiveForNow"/>
    <x v="4"/>
    <x v="2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#LiveForNow"/>
    <x v="4"/>
    <x v="2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#LiveForNow"/>
    <x v="2"/>
    <x v="0"/>
  </r>
  <r>
    <s v="P253"/>
    <s v="Twitter"/>
    <d v="2024-08-03T00:00:00"/>
    <s v="Reel"/>
    <s v="Check out our latest reel on twitter!"/>
    <n v="3791"/>
    <n v="593"/>
    <n v="228"/>
    <n v="53074"/>
    <n v="52613"/>
    <n v="205"/>
    <s v="#ThirstyForMore"/>
    <x v="4"/>
    <x v="2"/>
  </r>
  <r>
    <s v="P254"/>
    <s v="Twitter"/>
    <d v="2025-01-14T00:00:00"/>
    <s v="Image"/>
    <s v="Check out our latest image on twitter!"/>
    <n v="2692"/>
    <n v="115"/>
    <n v="64"/>
    <n v="21536"/>
    <n v="21120"/>
    <n v="224"/>
    <s v="#LiveForNow"/>
    <x v="1"/>
    <x v="0"/>
  </r>
  <r>
    <s v="P255"/>
    <s v="Facebook"/>
    <d v="2025-04-03T00:00:00"/>
    <s v="Story"/>
    <s v="Check out our latest story on facebook!"/>
    <n v="3767"/>
    <n v="514"/>
    <n v="238"/>
    <n v="37670"/>
    <n v="36807"/>
    <n v="226"/>
    <s v="#LiveForNow"/>
    <x v="3"/>
    <x v="0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#ThirstyForMore"/>
    <x v="1"/>
    <x v="0"/>
  </r>
  <r>
    <s v="P257"/>
    <s v="Facebook"/>
    <d v="2025-04-06T00:00:00"/>
    <s v="Image"/>
    <s v="Check out our latest image on facebook!"/>
    <n v="3090"/>
    <n v="697"/>
    <n v="164"/>
    <n v="49440"/>
    <n v="48524"/>
    <n v="25"/>
    <s v="#ThirstyForMore,#ThirstyForMore,#BetterWithPepsi"/>
    <x v="1"/>
    <x v="0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#ThirstyForMore"/>
    <x v="1"/>
    <x v="0"/>
  </r>
  <r>
    <s v="P259"/>
    <s v="Facebook"/>
    <d v="2025-02-10T00:00:00"/>
    <s v="Text"/>
    <s v="Check out our latest text on facebook!"/>
    <n v="562"/>
    <n v="158"/>
    <n v="149"/>
    <n v="3372"/>
    <n v="2940"/>
    <n v="93"/>
    <s v="#PepsiCoRefresh"/>
    <x v="0"/>
    <x v="0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#PepsiCoRefresh,#ThirstyForMore,#BetterWithPepsi"/>
    <x v="2"/>
    <x v="0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#ThirstyForMore"/>
    <x v="0"/>
    <x v="0"/>
  </r>
  <r>
    <s v="P262"/>
    <s v="YouTube"/>
    <d v="2025-01-18T00:00:00"/>
    <s v="Image"/>
    <s v="Check out our latest image on youtube!"/>
    <n v="1206"/>
    <n v="238"/>
    <n v="36"/>
    <n v="9648"/>
    <n v="9417"/>
    <n v="237"/>
    <s v="#PepsiCoRefresh"/>
    <x v="4"/>
    <x v="2"/>
  </r>
  <r>
    <s v="P263"/>
    <s v="Instagram"/>
    <d v="2024-08-20T00:00:00"/>
    <s v="Reel"/>
    <s v="Check out our latest reel on instagram!"/>
    <n v="2603"/>
    <n v="690"/>
    <n v="205"/>
    <n v="13015"/>
    <n v="12130"/>
    <n v="20"/>
    <s v="#LiveForNow"/>
    <x v="1"/>
    <x v="0"/>
  </r>
  <r>
    <s v="P264"/>
    <s v="Twitter"/>
    <d v="2025-01-30T00:00:00"/>
    <s v="Image"/>
    <s v="Check out our latest image on twitter!"/>
    <n v="59"/>
    <n v="163"/>
    <n v="93"/>
    <n v="590"/>
    <n v="475"/>
    <n v="293"/>
    <s v="#PepsiCoRefresh"/>
    <x v="1"/>
    <x v="0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#ThirstyForMore"/>
    <x v="3"/>
    <x v="0"/>
  </r>
  <r>
    <s v="P266"/>
    <s v="Facebook"/>
    <d v="2024-11-25T00:00:00"/>
    <s v="Story"/>
    <s v="Check out our latest story on facebook!"/>
    <n v="4182"/>
    <n v="640"/>
    <n v="240"/>
    <n v="50184"/>
    <n v="49351"/>
    <n v="10"/>
    <s v="#PepsiCoRefresh"/>
    <x v="2"/>
    <x v="0"/>
  </r>
  <r>
    <s v="P267"/>
    <s v="Twitter"/>
    <d v="2024-10-04T00:00:00"/>
    <s v="Reel"/>
    <s v="Check out our latest reel on twitter!"/>
    <n v="4187"/>
    <n v="66"/>
    <n v="31"/>
    <n v="66992"/>
    <n v="66614"/>
    <n v="62"/>
    <s v="#LiveForNow"/>
    <x v="4"/>
    <x v="2"/>
  </r>
  <r>
    <s v="P268"/>
    <s v="Instagram"/>
    <d v="2025-04-13T00:00:00"/>
    <s v="Reel"/>
    <s v="Check out our latest reel on instagram!"/>
    <n v="4579"/>
    <n v="125"/>
    <n v="300"/>
    <n v="59527"/>
    <n v="59400"/>
    <n v="269"/>
    <s v="#ThirstyForMore"/>
    <x v="0"/>
    <x v="0"/>
  </r>
  <r>
    <s v="P269"/>
    <s v="Instagram"/>
    <d v="2024-11-05T00:00:00"/>
    <s v="Video"/>
    <s v="Check out our latest video on instagram!"/>
    <n v="4561"/>
    <n v="51"/>
    <n v="441"/>
    <n v="22805"/>
    <n v="21890"/>
    <n v="45"/>
    <s v="#PepsiCoRefresh"/>
    <x v="1"/>
    <x v="0"/>
  </r>
  <r>
    <s v="P270"/>
    <s v="YouTube"/>
    <d v="2025-01-15T00:00:00"/>
    <s v="Reel"/>
    <s v="Check out our latest reel on youtube!"/>
    <n v="3774"/>
    <n v="239"/>
    <n v="39"/>
    <n v="60384"/>
    <n v="59490"/>
    <n v="241"/>
    <s v="#PepsiCoRefresh"/>
    <x v="2"/>
    <x v="0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#ThirstyForMore"/>
    <x v="1"/>
    <x v="1"/>
  </r>
  <r>
    <s v="P272"/>
    <s v="Instagram"/>
    <d v="2025-03-27T00:00:00"/>
    <s v="Text"/>
    <s v="Check out our latest text on instagram!"/>
    <n v="4941"/>
    <n v="414"/>
    <n v="266"/>
    <n v="39528"/>
    <n v="39154"/>
    <n v="217"/>
    <s v="#PepsiCoRefresh"/>
    <x v="2"/>
    <x v="0"/>
  </r>
  <r>
    <s v="P273"/>
    <s v="YouTube"/>
    <d v="2024-10-12T00:00:00"/>
    <s v="Story"/>
    <s v="Check out our latest story on youtube!"/>
    <n v="3641"/>
    <n v="226"/>
    <n v="46"/>
    <n v="40051"/>
    <n v="39319"/>
    <n v="296"/>
    <s v="#ThirstyForMore"/>
    <x v="3"/>
    <x v="0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#PepsiCoRefresh"/>
    <x v="3"/>
    <x v="0"/>
  </r>
  <r>
    <s v="P275"/>
    <s v="Facebook"/>
    <d v="2024-08-05T00:00:00"/>
    <s v="Reel"/>
    <s v="Check out our latest reel on facebook!"/>
    <n v="1741"/>
    <n v="831"/>
    <n v="345"/>
    <n v="17410"/>
    <n v="16844"/>
    <n v="58"/>
    <s v="#ThirstyForMore"/>
    <x v="2"/>
    <x v="0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#PepsiCoRefresh"/>
    <x v="1"/>
    <x v="0"/>
  </r>
  <r>
    <s v="P277"/>
    <s v="Facebook"/>
    <d v="2025-04-06T00:00:00"/>
    <s v="Image"/>
    <s v="Check out our latest image on facebook!"/>
    <n v="4236"/>
    <n v="711"/>
    <n v="298"/>
    <n v="21180"/>
    <n v="20516"/>
    <n v="238"/>
    <s v="#LiveForNow"/>
    <x v="0"/>
    <x v="0"/>
  </r>
  <r>
    <s v="P278"/>
    <s v="Twitter"/>
    <d v="2024-11-26T00:00:00"/>
    <s v="Text"/>
    <s v="Check out our latest text on twitter!"/>
    <n v="4516"/>
    <n v="836"/>
    <n v="169"/>
    <n v="49676"/>
    <n v="49257"/>
    <n v="282"/>
    <s v="#ThirstyForMore"/>
    <x v="3"/>
    <x v="0"/>
  </r>
  <r>
    <s v="P279"/>
    <s v="YouTube"/>
    <d v="2024-09-02T00:00:00"/>
    <s v="Image"/>
    <s v="Check out our latest image on youtube!"/>
    <n v="4905"/>
    <n v="845"/>
    <n v="129"/>
    <n v="98100"/>
    <n v="97772"/>
    <n v="279"/>
    <s v="#PepsiCoRefresh"/>
    <x v="1"/>
    <x v="0"/>
  </r>
  <r>
    <s v="P280"/>
    <s v="YouTube"/>
    <d v="2024-10-21T00:00:00"/>
    <s v="Video"/>
    <s v="Check out our latest video on youtube!"/>
    <n v="4275"/>
    <n v="680"/>
    <n v="385"/>
    <n v="64125"/>
    <n v="63650"/>
    <n v="104"/>
    <s v="#ThirstyForMore,#PepsiCoRefresh,#AnytimeIsPepsiTime"/>
    <x v="3"/>
    <x v="0"/>
  </r>
  <r>
    <s v="P281"/>
    <s v="YouTube"/>
    <d v="2025-03-22T00:00:00"/>
    <s v="Image"/>
    <s v="Check out our latest image on youtube!"/>
    <n v="3166"/>
    <n v="90"/>
    <n v="341"/>
    <n v="56988"/>
    <n v="56125"/>
    <n v="135"/>
    <s v="#ThirstyForMore"/>
    <x v="1"/>
    <x v="0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#LiveForNow"/>
    <x v="2"/>
    <x v="0"/>
  </r>
  <r>
    <s v="P283"/>
    <s v="Twitter"/>
    <d v="2025-05-09T00:00:00"/>
    <s v="Reel"/>
    <s v="Check out our latest reel on twitter!"/>
    <n v="3367"/>
    <n v="302"/>
    <n v="57"/>
    <n v="63973"/>
    <n v="63789"/>
    <n v="157"/>
    <s v="#LiveForNow"/>
    <x v="1"/>
    <x v="0"/>
  </r>
  <r>
    <s v="P284"/>
    <s v="Twitter"/>
    <d v="2024-09-17T00:00:00"/>
    <s v="Text"/>
    <s v="Check out our latest text on twitter!"/>
    <n v="571"/>
    <n v="190"/>
    <n v="352"/>
    <n v="9707"/>
    <n v="9418"/>
    <n v="231"/>
    <s v="#PepsiCoRefresh"/>
    <x v="3"/>
    <x v="0"/>
  </r>
  <r>
    <s v="P285"/>
    <s v="YouTube"/>
    <d v="2024-07-18T00:00:00"/>
    <s v="Text"/>
    <s v="Check out our latest text on youtube!"/>
    <n v="4021"/>
    <n v="794"/>
    <n v="77"/>
    <n v="36189"/>
    <n v="35505"/>
    <n v="174"/>
    <s v="#ThirstyForMore"/>
    <x v="4"/>
    <x v="2"/>
  </r>
  <r>
    <s v="P286"/>
    <s v="YouTube"/>
    <d v="2024-09-25T00:00:00"/>
    <s v="Video"/>
    <s v="Check out our latest video on youtube!"/>
    <n v="3389"/>
    <n v="344"/>
    <n v="229"/>
    <n v="20334"/>
    <n v="19443"/>
    <n v="228"/>
    <s v="#LiveForNow"/>
    <x v="2"/>
    <x v="0"/>
  </r>
  <r>
    <s v="P287"/>
    <s v="Instagram"/>
    <d v="2024-08-15T00:00:00"/>
    <s v="Reel"/>
    <s v="Check out our latest reel on instagram!"/>
    <n v="1164"/>
    <n v="616"/>
    <n v="324"/>
    <n v="6984"/>
    <n v="6636"/>
    <n v="82"/>
    <s v="#ThirstyForMore"/>
    <x v="0"/>
    <x v="0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#LiveForNow"/>
    <x v="2"/>
    <x v="0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#LiveForNow"/>
    <x v="4"/>
    <x v="2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#ThirstyForMore"/>
    <x v="3"/>
    <x v="0"/>
  </r>
  <r>
    <s v="P291"/>
    <s v="Facebook"/>
    <d v="2024-11-06T00:00:00"/>
    <s v="Video"/>
    <s v="Check out our latest video on facebook!"/>
    <n v="4663"/>
    <n v="145"/>
    <n v="225"/>
    <n v="69945"/>
    <n v="69596"/>
    <n v="35"/>
    <s v="#ThirstyForMore"/>
    <x v="3"/>
    <x v="0"/>
  </r>
  <r>
    <s v="P292"/>
    <s v="Facebook"/>
    <d v="2024-11-17T00:00:00"/>
    <s v="Text"/>
    <s v="Check out our latest text on facebook!"/>
    <n v="880"/>
    <n v="297"/>
    <n v="345"/>
    <n v="12320"/>
    <n v="11978"/>
    <n v="238"/>
    <s v="#PepsiCoRefresh,#AnytimeIsPepsiTime"/>
    <x v="4"/>
    <x v="2"/>
  </r>
  <r>
    <s v="P293"/>
    <s v="Facebook"/>
    <d v="2025-05-14T00:00:00"/>
    <s v="Text"/>
    <s v="Check out our latest text on facebook!"/>
    <n v="2634"/>
    <n v="726"/>
    <n v="241"/>
    <n v="28974"/>
    <n v="28102"/>
    <n v="277"/>
    <s v="#ThirstyForMore"/>
    <x v="0"/>
    <x v="0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#ThirstyForMore"/>
    <x v="2"/>
    <x v="0"/>
  </r>
  <r>
    <s v="P295"/>
    <s v="Twitter"/>
    <d v="2025-05-06T00:00:00"/>
    <s v="Image"/>
    <s v="Check out our latest image on twitter!"/>
    <n v="1952"/>
    <n v="344"/>
    <n v="287"/>
    <n v="15616"/>
    <n v="15403"/>
    <n v="235"/>
    <s v="#LiveForNow,#PepsiCoRefresh,#AnytimeIsPepsiTime"/>
    <x v="1"/>
    <x v="0"/>
  </r>
  <r>
    <s v="P296"/>
    <s v="Twitter"/>
    <d v="2025-02-11T00:00:00"/>
    <s v="Video"/>
    <s v="Check out our latest video on twitter!"/>
    <n v="3440"/>
    <n v="13"/>
    <n v="20"/>
    <n v="58480"/>
    <n v="58146"/>
    <n v="210"/>
    <s v="#PepsiCoRefresh,#SmoothLikeNitroPepsi"/>
    <x v="3"/>
    <x v="0"/>
  </r>
  <r>
    <s v="P297"/>
    <s v="Twitter"/>
    <d v="2024-12-24T00:00:00"/>
    <s v="Text"/>
    <s v="Check out our latest text on twitter!"/>
    <n v="2166"/>
    <n v="354"/>
    <n v="117"/>
    <n v="10830"/>
    <n v="10245"/>
    <n v="24"/>
    <s v="#ThirstyForMore"/>
    <x v="3"/>
    <x v="0"/>
  </r>
  <r>
    <s v="P298"/>
    <s v="Facebook"/>
    <d v="2024-10-24T00:00:00"/>
    <s v="Image"/>
    <s v="Check out our latest image on facebook!"/>
    <n v="4303"/>
    <n v="451"/>
    <n v="286"/>
    <n v="86060"/>
    <n v="85823"/>
    <n v="14"/>
    <s v="#PepsiCoRefresh"/>
    <x v="2"/>
    <x v="0"/>
  </r>
  <r>
    <s v="P299"/>
    <s v="Facebook"/>
    <d v="2024-08-26T00:00:00"/>
    <s v="Image"/>
    <s v="Check out our latest image on facebook!"/>
    <n v="2581"/>
    <n v="517"/>
    <n v="117"/>
    <n v="23229"/>
    <n v="22331"/>
    <n v="70"/>
    <s v="#LiveForNow"/>
    <x v="2"/>
    <x v="0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#PepsiCoRefresh,#ThirstyForMore,#BetterWithPepsi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s v="Instagram"/>
    <n v="1135"/>
    <n v="88"/>
    <n v="344084"/>
    <n v="8.06"/>
    <n v="5904"/>
    <n v="1047"/>
    <x v="0"/>
  </r>
  <r>
    <d v="2024-06-03T00:00:00"/>
    <s v="Facebook"/>
    <n v="1312"/>
    <n v="310"/>
    <n v="42654"/>
    <n v="4.9800000000000004"/>
    <n v="9566"/>
    <n v="1002"/>
    <x v="0"/>
  </r>
  <r>
    <d v="2024-06-03T00:00:00"/>
    <s v="Twitter"/>
    <n v="584"/>
    <n v="169"/>
    <n v="146834"/>
    <n v="8.31"/>
    <n v="26752"/>
    <n v="415"/>
    <x v="0"/>
  </r>
  <r>
    <d v="2024-06-03T00:00:00"/>
    <s v="YouTube"/>
    <n v="1535"/>
    <n v="445"/>
    <n v="395536"/>
    <n v="4.1100000000000003"/>
    <n v="30671"/>
    <n v="1090"/>
    <x v="0"/>
  </r>
  <r>
    <d v="2024-06-10T00:00:00"/>
    <s v="Instagram"/>
    <n v="656"/>
    <n v="139"/>
    <n v="49157"/>
    <n v="9.0500000000000007"/>
    <n v="9920"/>
    <n v="517"/>
    <x v="0"/>
  </r>
  <r>
    <d v="2024-06-10T00:00:00"/>
    <s v="Facebook"/>
    <n v="1697"/>
    <n v="414"/>
    <n v="316555"/>
    <n v="2.37"/>
    <n v="7924"/>
    <n v="1283"/>
    <x v="0"/>
  </r>
  <r>
    <d v="2024-06-10T00:00:00"/>
    <s v="Twitter"/>
    <n v="436"/>
    <n v="250"/>
    <n v="254347"/>
    <n v="4.01"/>
    <n v="8912"/>
    <n v="186"/>
    <x v="0"/>
  </r>
  <r>
    <d v="2024-06-10T00:00:00"/>
    <s v="YouTube"/>
    <n v="1197"/>
    <n v="203"/>
    <n v="413878"/>
    <n v="3.16"/>
    <n v="21205"/>
    <n v="994"/>
    <x v="0"/>
  </r>
  <r>
    <d v="2024-06-17T00:00:00"/>
    <s v="Instagram"/>
    <n v="1048"/>
    <n v="155"/>
    <n v="456946"/>
    <n v="2.46"/>
    <n v="11329"/>
    <n v="893"/>
    <x v="1"/>
  </r>
  <r>
    <d v="2024-06-17T00:00:00"/>
    <s v="Facebook"/>
    <n v="1753"/>
    <n v="371"/>
    <n v="169496"/>
    <n v="8.11"/>
    <n v="46670"/>
    <n v="1382"/>
    <x v="1"/>
  </r>
  <r>
    <d v="2024-06-17T00:00:00"/>
    <s v="Twitter"/>
    <n v="1335"/>
    <n v="40"/>
    <n v="122732"/>
    <n v="8.19"/>
    <n v="22482"/>
    <n v="1295"/>
    <x v="1"/>
  </r>
  <r>
    <d v="2024-06-17T00:00:00"/>
    <s v="YouTube"/>
    <n v="403"/>
    <n v="66"/>
    <n v="382851"/>
    <n v="3.49"/>
    <n v="24313"/>
    <n v="337"/>
    <x v="1"/>
  </r>
  <r>
    <d v="2024-06-24T00:00:00"/>
    <s v="Instagram"/>
    <n v="911"/>
    <n v="282"/>
    <n v="35664"/>
    <n v="6.92"/>
    <n v="18050"/>
    <n v="629"/>
    <x v="1"/>
  </r>
  <r>
    <d v="2024-06-24T00:00:00"/>
    <s v="Facebook"/>
    <n v="1779"/>
    <n v="109"/>
    <n v="26295"/>
    <n v="9.1199999999999992"/>
    <n v="30635"/>
    <n v="1670"/>
    <x v="1"/>
  </r>
  <r>
    <d v="2024-06-24T00:00:00"/>
    <s v="Twitter"/>
    <n v="1238"/>
    <n v="403"/>
    <n v="298421"/>
    <n v="3.5"/>
    <n v="31280"/>
    <n v="835"/>
    <x v="1"/>
  </r>
  <r>
    <d v="2024-06-24T00:00:00"/>
    <s v="YouTube"/>
    <n v="308"/>
    <n v="431"/>
    <n v="426184"/>
    <n v="2.62"/>
    <n v="1783"/>
    <n v="-123"/>
    <x v="1"/>
  </r>
  <r>
    <d v="2024-07-01T00:00:00"/>
    <s v="Instagram"/>
    <n v="226"/>
    <n v="445"/>
    <n v="419447"/>
    <n v="9.36"/>
    <n v="9566"/>
    <n v="-219"/>
    <x v="1"/>
  </r>
  <r>
    <d v="2024-07-01T00:00:00"/>
    <s v="Facebook"/>
    <n v="505"/>
    <n v="441"/>
    <n v="220020"/>
    <n v="4.4800000000000004"/>
    <n v="42307"/>
    <n v="64"/>
    <x v="1"/>
  </r>
  <r>
    <d v="2024-07-01T00:00:00"/>
    <s v="Twitter"/>
    <n v="1420"/>
    <n v="63"/>
    <n v="315305"/>
    <n v="6.19"/>
    <n v="5914"/>
    <n v="1357"/>
    <x v="1"/>
  </r>
  <r>
    <d v="2024-07-01T00:00:00"/>
    <s v="YouTube"/>
    <n v="144"/>
    <n v="53"/>
    <n v="113678"/>
    <n v="8.7200000000000006"/>
    <n v="30060"/>
    <n v="91"/>
    <x v="1"/>
  </r>
  <r>
    <d v="2024-07-08T00:00:00"/>
    <s v="Instagram"/>
    <n v="1757"/>
    <n v="85"/>
    <n v="58223"/>
    <n v="8.74"/>
    <n v="22728"/>
    <n v="1672"/>
    <x v="1"/>
  </r>
  <r>
    <d v="2024-07-08T00:00:00"/>
    <s v="Facebook"/>
    <n v="350"/>
    <n v="41"/>
    <n v="251694"/>
    <n v="1.91"/>
    <n v="38610"/>
    <n v="309"/>
    <x v="1"/>
  </r>
  <r>
    <d v="2024-07-08T00:00:00"/>
    <s v="Twitter"/>
    <n v="987"/>
    <n v="440"/>
    <n v="389810"/>
    <n v="4.66"/>
    <n v="2932"/>
    <n v="547"/>
    <x v="1"/>
  </r>
  <r>
    <d v="2024-07-08T00:00:00"/>
    <s v="YouTube"/>
    <n v="883"/>
    <n v="369"/>
    <n v="233694"/>
    <n v="2.88"/>
    <n v="15071"/>
    <n v="514"/>
    <x v="1"/>
  </r>
  <r>
    <d v="2024-07-15T00:00:00"/>
    <s v="Instagram"/>
    <n v="1960"/>
    <n v="115"/>
    <n v="154169"/>
    <n v="3.74"/>
    <n v="10740"/>
    <n v="1845"/>
    <x v="1"/>
  </r>
  <r>
    <d v="2024-07-15T00:00:00"/>
    <s v="Facebook"/>
    <n v="170"/>
    <n v="334"/>
    <n v="334626"/>
    <n v="6.44"/>
    <n v="43420"/>
    <n v="-164"/>
    <x v="1"/>
  </r>
  <r>
    <d v="2024-07-15T00:00:00"/>
    <s v="Twitter"/>
    <n v="704"/>
    <n v="275"/>
    <n v="226002"/>
    <n v="8.56"/>
    <n v="32393"/>
    <n v="429"/>
    <x v="1"/>
  </r>
  <r>
    <d v="2024-07-15T00:00:00"/>
    <s v="YouTube"/>
    <n v="224"/>
    <n v="64"/>
    <n v="156683"/>
    <n v="4.5599999999999996"/>
    <n v="28474"/>
    <n v="160"/>
    <x v="1"/>
  </r>
  <r>
    <d v="2024-07-22T00:00:00"/>
    <s v="Instagram"/>
    <n v="508"/>
    <n v="349"/>
    <n v="473812"/>
    <n v="7.88"/>
    <n v="17328"/>
    <n v="159"/>
    <x v="0"/>
  </r>
  <r>
    <d v="2024-07-22T00:00:00"/>
    <s v="Facebook"/>
    <n v="1391"/>
    <n v="430"/>
    <n v="295032"/>
    <n v="7.86"/>
    <n v="26067"/>
    <n v="961"/>
    <x v="0"/>
  </r>
  <r>
    <d v="2024-07-22T00:00:00"/>
    <s v="Twitter"/>
    <n v="1701"/>
    <n v="385"/>
    <n v="198278"/>
    <n v="5.34"/>
    <n v="32763"/>
    <n v="1316"/>
    <x v="0"/>
  </r>
  <r>
    <d v="2024-07-22T00:00:00"/>
    <s v="YouTube"/>
    <n v="804"/>
    <n v="487"/>
    <n v="306564"/>
    <n v="5.52"/>
    <n v="26452"/>
    <n v="317"/>
    <x v="0"/>
  </r>
  <r>
    <d v="2024-07-29T00:00:00"/>
    <s v="Instagram"/>
    <n v="653"/>
    <n v="112"/>
    <n v="23664"/>
    <n v="4.05"/>
    <n v="15353"/>
    <n v="541"/>
    <x v="0"/>
  </r>
  <r>
    <d v="2024-07-29T00:00:00"/>
    <s v="Facebook"/>
    <n v="160"/>
    <n v="478"/>
    <n v="435034"/>
    <n v="7.73"/>
    <n v="4839"/>
    <n v="-318"/>
    <x v="0"/>
  </r>
  <r>
    <d v="2024-07-29T00:00:00"/>
    <s v="Twitter"/>
    <n v="1756"/>
    <n v="261"/>
    <n v="287574"/>
    <n v="4.3600000000000003"/>
    <n v="39272"/>
    <n v="1495"/>
    <x v="0"/>
  </r>
  <r>
    <d v="2024-07-29T00:00:00"/>
    <s v="YouTube"/>
    <n v="576"/>
    <n v="101"/>
    <n v="62499"/>
    <n v="3.48"/>
    <n v="16804"/>
    <n v="475"/>
    <x v="0"/>
  </r>
  <r>
    <d v="2024-08-05T00:00:00"/>
    <s v="Instagram"/>
    <n v="645"/>
    <n v="293"/>
    <n v="437968"/>
    <n v="7.83"/>
    <n v="49303"/>
    <n v="352"/>
    <x v="0"/>
  </r>
  <r>
    <d v="2024-08-05T00:00:00"/>
    <s v="Facebook"/>
    <n v="214"/>
    <n v="411"/>
    <n v="125034"/>
    <n v="6.11"/>
    <n v="26455"/>
    <n v="-197"/>
    <x v="0"/>
  </r>
  <r>
    <d v="2024-08-05T00:00:00"/>
    <s v="Twitter"/>
    <n v="826"/>
    <n v="498"/>
    <n v="449994"/>
    <n v="9.43"/>
    <n v="12384"/>
    <n v="328"/>
    <x v="0"/>
  </r>
  <r>
    <d v="2024-08-05T00:00:00"/>
    <s v="YouTube"/>
    <n v="460"/>
    <n v="141"/>
    <n v="320650"/>
    <n v="4.04"/>
    <n v="49372"/>
    <n v="319"/>
    <x v="0"/>
  </r>
  <r>
    <d v="2024-08-12T00:00:00"/>
    <s v="Instagram"/>
    <n v="1528"/>
    <n v="203"/>
    <n v="489188"/>
    <n v="6.23"/>
    <n v="47101"/>
    <n v="1325"/>
    <x v="0"/>
  </r>
  <r>
    <d v="2024-08-12T00:00:00"/>
    <s v="Facebook"/>
    <n v="1534"/>
    <n v="200"/>
    <n v="307612"/>
    <n v="6.01"/>
    <n v="37903"/>
    <n v="1334"/>
    <x v="0"/>
  </r>
  <r>
    <d v="2024-08-12T00:00:00"/>
    <s v="Twitter"/>
    <n v="485"/>
    <n v="448"/>
    <n v="434883"/>
    <n v="8.5500000000000007"/>
    <n v="33258"/>
    <n v="37"/>
    <x v="0"/>
  </r>
  <r>
    <d v="2024-08-12T00:00:00"/>
    <s v="YouTube"/>
    <n v="1210"/>
    <n v="178"/>
    <n v="102042"/>
    <n v="5.42"/>
    <n v="6915"/>
    <n v="1032"/>
    <x v="0"/>
  </r>
  <r>
    <d v="2024-08-19T00:00:00"/>
    <s v="Instagram"/>
    <n v="215"/>
    <n v="139"/>
    <n v="325444"/>
    <n v="3.25"/>
    <n v="35501"/>
    <n v="76"/>
    <x v="0"/>
  </r>
  <r>
    <d v="2024-08-19T00:00:00"/>
    <s v="Facebook"/>
    <n v="1078"/>
    <n v="20"/>
    <n v="183924"/>
    <n v="8.84"/>
    <n v="14203"/>
    <n v="1058"/>
    <x v="0"/>
  </r>
  <r>
    <d v="2024-08-19T00:00:00"/>
    <s v="Twitter"/>
    <n v="1751"/>
    <n v="86"/>
    <n v="188655"/>
    <n v="7.24"/>
    <n v="22206"/>
    <n v="1665"/>
    <x v="0"/>
  </r>
  <r>
    <d v="2024-08-19T00:00:00"/>
    <s v="YouTube"/>
    <n v="221"/>
    <n v="31"/>
    <n v="87443"/>
    <n v="6.19"/>
    <n v="10283"/>
    <n v="190"/>
    <x v="0"/>
  </r>
  <r>
    <d v="2024-08-26T00:00:00"/>
    <s v="Instagram"/>
    <n v="1685"/>
    <n v="76"/>
    <n v="453799"/>
    <n v="5.71"/>
    <n v="24913"/>
    <n v="1609"/>
    <x v="0"/>
  </r>
  <r>
    <d v="2024-08-26T00:00:00"/>
    <s v="Facebook"/>
    <n v="248"/>
    <n v="211"/>
    <n v="379380"/>
    <n v="9.0399999999999991"/>
    <n v="26925"/>
    <n v="37"/>
    <x v="0"/>
  </r>
  <r>
    <d v="2024-08-26T00:00:00"/>
    <s v="Twitter"/>
    <n v="1300"/>
    <n v="71"/>
    <n v="186454"/>
    <n v="3.91"/>
    <n v="9942"/>
    <n v="1229"/>
    <x v="0"/>
  </r>
  <r>
    <d v="2024-08-26T00:00:00"/>
    <s v="YouTube"/>
    <n v="422"/>
    <n v="394"/>
    <n v="239044"/>
    <n v="7.83"/>
    <n v="32929"/>
    <n v="28"/>
    <x v="0"/>
  </r>
  <r>
    <d v="2024-09-02T00:00:00"/>
    <s v="Instagram"/>
    <n v="1429"/>
    <n v="182"/>
    <n v="101332"/>
    <n v="7.16"/>
    <n v="37829"/>
    <n v="1247"/>
    <x v="0"/>
  </r>
  <r>
    <d v="2024-09-02T00:00:00"/>
    <s v="Facebook"/>
    <n v="1520"/>
    <n v="475"/>
    <n v="496982"/>
    <n v="6.41"/>
    <n v="24384"/>
    <n v="1045"/>
    <x v="0"/>
  </r>
  <r>
    <d v="2024-09-02T00:00:00"/>
    <s v="Twitter"/>
    <n v="557"/>
    <n v="360"/>
    <n v="318779"/>
    <n v="8.02"/>
    <n v="25797"/>
    <n v="197"/>
    <x v="0"/>
  </r>
  <r>
    <d v="2024-09-02T00:00:00"/>
    <s v="YouTube"/>
    <n v="728"/>
    <n v="395"/>
    <n v="370971"/>
    <n v="3.86"/>
    <n v="12646"/>
    <n v="333"/>
    <x v="0"/>
  </r>
  <r>
    <d v="2024-09-09T00:00:00"/>
    <s v="Instagram"/>
    <n v="1592"/>
    <n v="20"/>
    <n v="378054"/>
    <n v="9.09"/>
    <n v="26663"/>
    <n v="1572"/>
    <x v="0"/>
  </r>
  <r>
    <d v="2024-09-09T00:00:00"/>
    <s v="Facebook"/>
    <n v="1842"/>
    <n v="414"/>
    <n v="307524"/>
    <n v="1.76"/>
    <n v="40478"/>
    <n v="1428"/>
    <x v="0"/>
  </r>
  <r>
    <d v="2024-09-09T00:00:00"/>
    <s v="Twitter"/>
    <n v="751"/>
    <n v="491"/>
    <n v="434047"/>
    <n v="9.24"/>
    <n v="15476"/>
    <n v="260"/>
    <x v="0"/>
  </r>
  <r>
    <d v="2024-09-09T00:00:00"/>
    <s v="YouTube"/>
    <n v="1409"/>
    <n v="309"/>
    <n v="64583"/>
    <n v="8.99"/>
    <n v="10217"/>
    <n v="1100"/>
    <x v="0"/>
  </r>
  <r>
    <d v="2024-09-16T00:00:00"/>
    <s v="Instagram"/>
    <n v="778"/>
    <n v="401"/>
    <n v="50793"/>
    <n v="3.4"/>
    <n v="21939"/>
    <n v="377"/>
    <x v="0"/>
  </r>
  <r>
    <d v="2024-09-16T00:00:00"/>
    <s v="Facebook"/>
    <n v="443"/>
    <n v="345"/>
    <n v="474162"/>
    <n v="9.1999999999999993"/>
    <n v="47462"/>
    <n v="98"/>
    <x v="0"/>
  </r>
  <r>
    <d v="2024-09-16T00:00:00"/>
    <s v="Twitter"/>
    <n v="1472"/>
    <n v="347"/>
    <n v="392355"/>
    <n v="8.59"/>
    <n v="30270"/>
    <n v="1125"/>
    <x v="0"/>
  </r>
  <r>
    <d v="2024-09-16T00:00:00"/>
    <s v="YouTube"/>
    <n v="123"/>
    <n v="155"/>
    <n v="119934"/>
    <n v="3.5"/>
    <n v="5442"/>
    <n v="-32"/>
    <x v="0"/>
  </r>
  <r>
    <d v="2024-09-23T00:00:00"/>
    <s v="Instagram"/>
    <n v="817"/>
    <n v="151"/>
    <n v="422625"/>
    <n v="2.36"/>
    <n v="1083"/>
    <n v="666"/>
    <x v="0"/>
  </r>
  <r>
    <d v="2024-09-23T00:00:00"/>
    <s v="Facebook"/>
    <n v="198"/>
    <n v="217"/>
    <n v="239753"/>
    <n v="7.36"/>
    <n v="11901"/>
    <n v="-19"/>
    <x v="0"/>
  </r>
  <r>
    <d v="2024-09-23T00:00:00"/>
    <s v="Twitter"/>
    <n v="1911"/>
    <n v="231"/>
    <n v="268516"/>
    <n v="8.5500000000000007"/>
    <n v="24018"/>
    <n v="1680"/>
    <x v="0"/>
  </r>
  <r>
    <d v="2024-09-23T00:00:00"/>
    <s v="YouTube"/>
    <n v="1218"/>
    <n v="212"/>
    <n v="63177"/>
    <n v="8.1300000000000008"/>
    <n v="38883"/>
    <n v="1006"/>
    <x v="0"/>
  </r>
  <r>
    <d v="2024-09-30T00:00:00"/>
    <s v="Instagram"/>
    <n v="1433"/>
    <n v="408"/>
    <n v="370269"/>
    <n v="3.3"/>
    <n v="30575"/>
    <n v="1025"/>
    <x v="0"/>
  </r>
  <r>
    <d v="2024-09-30T00:00:00"/>
    <s v="Facebook"/>
    <n v="250"/>
    <n v="429"/>
    <n v="453423"/>
    <n v="1.77"/>
    <n v="2315"/>
    <n v="-179"/>
    <x v="0"/>
  </r>
  <r>
    <d v="2024-09-30T00:00:00"/>
    <s v="Twitter"/>
    <n v="752"/>
    <n v="153"/>
    <n v="64906"/>
    <n v="2.09"/>
    <n v="12148"/>
    <n v="599"/>
    <x v="0"/>
  </r>
  <r>
    <d v="2024-09-30T00:00:00"/>
    <s v="YouTube"/>
    <n v="1918"/>
    <n v="212"/>
    <n v="94360"/>
    <n v="7.36"/>
    <n v="36851"/>
    <n v="1706"/>
    <x v="0"/>
  </r>
  <r>
    <d v="2024-10-07T00:00:00"/>
    <s v="Instagram"/>
    <n v="1939"/>
    <n v="67"/>
    <n v="187183"/>
    <n v="6.25"/>
    <n v="41215"/>
    <n v="1872"/>
    <x v="2"/>
  </r>
  <r>
    <d v="2024-10-07T00:00:00"/>
    <s v="Facebook"/>
    <n v="1929"/>
    <n v="267"/>
    <n v="379363"/>
    <n v="1.75"/>
    <n v="43836"/>
    <n v="1662"/>
    <x v="2"/>
  </r>
  <r>
    <d v="2024-10-07T00:00:00"/>
    <s v="Twitter"/>
    <n v="437"/>
    <n v="330"/>
    <n v="476486"/>
    <n v="4.97"/>
    <n v="4509"/>
    <n v="107"/>
    <x v="2"/>
  </r>
  <r>
    <d v="2024-10-07T00:00:00"/>
    <s v="YouTube"/>
    <n v="307"/>
    <n v="189"/>
    <n v="117767"/>
    <n v="9.3000000000000007"/>
    <n v="27822"/>
    <n v="118"/>
    <x v="2"/>
  </r>
  <r>
    <d v="2024-10-14T00:00:00"/>
    <s v="Instagram"/>
    <n v="1527"/>
    <n v="303"/>
    <n v="388555"/>
    <n v="8.9"/>
    <n v="36397"/>
    <n v="1224"/>
    <x v="2"/>
  </r>
  <r>
    <d v="2024-10-14T00:00:00"/>
    <s v="Facebook"/>
    <n v="643"/>
    <n v="358"/>
    <n v="157599"/>
    <n v="3.88"/>
    <n v="7285"/>
    <n v="285"/>
    <x v="2"/>
  </r>
  <r>
    <d v="2024-10-14T00:00:00"/>
    <s v="Twitter"/>
    <n v="201"/>
    <n v="221"/>
    <n v="309772"/>
    <n v="5.9"/>
    <n v="33174"/>
    <n v="-20"/>
    <x v="2"/>
  </r>
  <r>
    <d v="2024-10-14T00:00:00"/>
    <s v="YouTube"/>
    <n v="414"/>
    <n v="47"/>
    <n v="199178"/>
    <n v="1.53"/>
    <n v="6742"/>
    <n v="367"/>
    <x v="2"/>
  </r>
  <r>
    <d v="2024-10-21T00:00:00"/>
    <s v="Instagram"/>
    <n v="703"/>
    <n v="441"/>
    <n v="357089"/>
    <n v="6.5"/>
    <n v="32478"/>
    <n v="262"/>
    <x v="2"/>
  </r>
  <r>
    <d v="2024-10-21T00:00:00"/>
    <s v="Facebook"/>
    <n v="508"/>
    <n v="69"/>
    <n v="23492"/>
    <n v="3.16"/>
    <n v="42824"/>
    <n v="439"/>
    <x v="2"/>
  </r>
  <r>
    <d v="2024-10-21T00:00:00"/>
    <s v="Twitter"/>
    <n v="697"/>
    <n v="61"/>
    <n v="258287"/>
    <n v="8.25"/>
    <n v="21208"/>
    <n v="636"/>
    <x v="2"/>
  </r>
  <r>
    <d v="2024-10-21T00:00:00"/>
    <s v="YouTube"/>
    <n v="1707"/>
    <n v="223"/>
    <n v="256910"/>
    <n v="5.41"/>
    <n v="44321"/>
    <n v="1484"/>
    <x v="2"/>
  </r>
  <r>
    <d v="2024-10-28T00:00:00"/>
    <s v="Instagram"/>
    <n v="642"/>
    <n v="66"/>
    <n v="346522"/>
    <n v="5.85"/>
    <n v="13116"/>
    <n v="576"/>
    <x v="2"/>
  </r>
  <r>
    <d v="2024-10-28T00:00:00"/>
    <s v="Facebook"/>
    <n v="859"/>
    <n v="473"/>
    <n v="209987"/>
    <n v="4.46"/>
    <n v="30214"/>
    <n v="386"/>
    <x v="2"/>
  </r>
  <r>
    <d v="2024-10-28T00:00:00"/>
    <s v="Twitter"/>
    <n v="191"/>
    <n v="154"/>
    <n v="240550"/>
    <n v="5.22"/>
    <n v="15827"/>
    <n v="37"/>
    <x v="2"/>
  </r>
  <r>
    <d v="2024-10-28T00:00:00"/>
    <s v="YouTube"/>
    <n v="1814"/>
    <n v="157"/>
    <n v="305827"/>
    <n v="1.99"/>
    <n v="46643"/>
    <n v="1657"/>
    <x v="2"/>
  </r>
  <r>
    <d v="2024-11-04T00:00:00"/>
    <s v="Instagram"/>
    <n v="1466"/>
    <n v="69"/>
    <n v="54935"/>
    <n v="6.85"/>
    <n v="36484"/>
    <n v="1397"/>
    <x v="0"/>
  </r>
  <r>
    <d v="2024-11-04T00:00:00"/>
    <s v="Facebook"/>
    <n v="947"/>
    <n v="407"/>
    <n v="319186"/>
    <n v="3.32"/>
    <n v="4996"/>
    <n v="540"/>
    <x v="0"/>
  </r>
  <r>
    <d v="2024-11-04T00:00:00"/>
    <s v="Twitter"/>
    <n v="1821"/>
    <n v="218"/>
    <n v="439080"/>
    <n v="5.68"/>
    <n v="36095"/>
    <n v="1603"/>
    <x v="0"/>
  </r>
  <r>
    <d v="2024-11-04T00:00:00"/>
    <s v="YouTube"/>
    <n v="1507"/>
    <n v="463"/>
    <n v="258944"/>
    <n v="6.08"/>
    <n v="16443"/>
    <n v="1044"/>
    <x v="0"/>
  </r>
  <r>
    <d v="2024-11-11T00:00:00"/>
    <s v="Instagram"/>
    <n v="1075"/>
    <n v="173"/>
    <n v="51395"/>
    <n v="4.66"/>
    <n v="47812"/>
    <n v="902"/>
    <x v="0"/>
  </r>
  <r>
    <d v="2024-11-11T00:00:00"/>
    <s v="Facebook"/>
    <n v="171"/>
    <n v="277"/>
    <n v="309483"/>
    <n v="8.6999999999999993"/>
    <n v="38452"/>
    <n v="-106"/>
    <x v="0"/>
  </r>
  <r>
    <d v="2024-11-11T00:00:00"/>
    <s v="Twitter"/>
    <n v="1487"/>
    <n v="337"/>
    <n v="87305"/>
    <n v="2.46"/>
    <n v="30428"/>
    <n v="1150"/>
    <x v="0"/>
  </r>
  <r>
    <d v="2024-11-11T00:00:00"/>
    <s v="YouTube"/>
    <n v="454"/>
    <n v="105"/>
    <n v="121091"/>
    <n v="7.97"/>
    <n v="9269"/>
    <n v="349"/>
    <x v="0"/>
  </r>
  <r>
    <d v="2024-11-18T00:00:00"/>
    <s v="Instagram"/>
    <n v="187"/>
    <n v="236"/>
    <n v="51087"/>
    <n v="9.41"/>
    <n v="29533"/>
    <n v="-49"/>
    <x v="0"/>
  </r>
  <r>
    <d v="2024-11-18T00:00:00"/>
    <s v="Facebook"/>
    <n v="513"/>
    <n v="441"/>
    <n v="338847"/>
    <n v="2.68"/>
    <n v="39997"/>
    <n v="72"/>
    <x v="0"/>
  </r>
  <r>
    <d v="2024-11-18T00:00:00"/>
    <s v="Twitter"/>
    <n v="628"/>
    <n v="183"/>
    <n v="487523"/>
    <n v="7.32"/>
    <n v="5391"/>
    <n v="445"/>
    <x v="0"/>
  </r>
  <r>
    <d v="2024-11-18T00:00:00"/>
    <s v="YouTube"/>
    <n v="278"/>
    <n v="218"/>
    <n v="301695"/>
    <n v="4.68"/>
    <n v="22373"/>
    <n v="60"/>
    <x v="0"/>
  </r>
  <r>
    <d v="2024-11-25T00:00:00"/>
    <s v="Instagram"/>
    <n v="1854"/>
    <n v="161"/>
    <n v="282466"/>
    <n v="5.17"/>
    <n v="1810"/>
    <n v="1693"/>
    <x v="0"/>
  </r>
  <r>
    <d v="2024-11-25T00:00:00"/>
    <s v="Facebook"/>
    <n v="1710"/>
    <n v="378"/>
    <n v="336661"/>
    <n v="6.2"/>
    <n v="28498"/>
    <n v="1332"/>
    <x v="0"/>
  </r>
  <r>
    <d v="2024-11-25T00:00:00"/>
    <s v="Twitter"/>
    <n v="330"/>
    <n v="232"/>
    <n v="88455"/>
    <n v="2.69"/>
    <n v="39530"/>
    <n v="98"/>
    <x v="0"/>
  </r>
  <r>
    <d v="2024-11-25T00:00:00"/>
    <s v="YouTube"/>
    <n v="1293"/>
    <n v="408"/>
    <n v="62535"/>
    <n v="8.9"/>
    <n v="37876"/>
    <n v="885"/>
    <x v="0"/>
  </r>
  <r>
    <d v="2024-12-02T00:00:00"/>
    <s v="Instagram"/>
    <n v="1696"/>
    <n v="71"/>
    <n v="421957"/>
    <n v="3.79"/>
    <n v="36103"/>
    <n v="1625"/>
    <x v="0"/>
  </r>
  <r>
    <d v="2024-12-02T00:00:00"/>
    <s v="Facebook"/>
    <n v="1902"/>
    <n v="196"/>
    <n v="470269"/>
    <n v="4.79"/>
    <n v="26103"/>
    <n v="1706"/>
    <x v="0"/>
  </r>
  <r>
    <d v="2024-12-02T00:00:00"/>
    <s v="Twitter"/>
    <n v="1441"/>
    <n v="268"/>
    <n v="309904"/>
    <n v="6.37"/>
    <n v="3455"/>
    <n v="1173"/>
    <x v="0"/>
  </r>
  <r>
    <d v="2024-12-02T00:00:00"/>
    <s v="YouTube"/>
    <n v="452"/>
    <n v="161"/>
    <n v="221274"/>
    <n v="2.65"/>
    <n v="40888"/>
    <n v="291"/>
    <x v="0"/>
  </r>
  <r>
    <d v="2024-12-09T00:00:00"/>
    <s v="Instagram"/>
    <n v="1494"/>
    <n v="375"/>
    <n v="220616"/>
    <n v="1.81"/>
    <n v="22724"/>
    <n v="1119"/>
    <x v="0"/>
  </r>
  <r>
    <d v="2024-12-09T00:00:00"/>
    <s v="Facebook"/>
    <n v="1514"/>
    <n v="141"/>
    <n v="35842"/>
    <n v="7.47"/>
    <n v="18601"/>
    <n v="1373"/>
    <x v="0"/>
  </r>
  <r>
    <d v="2024-12-09T00:00:00"/>
    <s v="Twitter"/>
    <n v="1937"/>
    <n v="210"/>
    <n v="20607"/>
    <n v="4.2"/>
    <n v="20861"/>
    <n v="1727"/>
    <x v="0"/>
  </r>
  <r>
    <d v="2024-12-09T00:00:00"/>
    <s v="YouTube"/>
    <n v="736"/>
    <n v="163"/>
    <n v="451894"/>
    <n v="5.43"/>
    <n v="46625"/>
    <n v="573"/>
    <x v="0"/>
  </r>
  <r>
    <d v="2024-12-16T00:00:00"/>
    <s v="Instagram"/>
    <n v="1502"/>
    <n v="70"/>
    <n v="465553"/>
    <n v="3.32"/>
    <n v="20692"/>
    <n v="1432"/>
    <x v="0"/>
  </r>
  <r>
    <d v="2024-12-16T00:00:00"/>
    <s v="Facebook"/>
    <n v="1623"/>
    <n v="246"/>
    <n v="415815"/>
    <n v="8.11"/>
    <n v="18656"/>
    <n v="1377"/>
    <x v="0"/>
  </r>
  <r>
    <d v="2024-12-16T00:00:00"/>
    <s v="Twitter"/>
    <n v="1592"/>
    <n v="233"/>
    <n v="327183"/>
    <n v="6.66"/>
    <n v="13316"/>
    <n v="1359"/>
    <x v="0"/>
  </r>
  <r>
    <d v="2024-12-16T00:00:00"/>
    <s v="YouTube"/>
    <n v="1004"/>
    <n v="128"/>
    <n v="488901"/>
    <n v="8.09"/>
    <n v="49558"/>
    <n v="876"/>
    <x v="0"/>
  </r>
  <r>
    <d v="2024-12-23T00:00:00"/>
    <s v="Instagram"/>
    <n v="1092"/>
    <n v="408"/>
    <n v="280795"/>
    <n v="8.44"/>
    <n v="4683"/>
    <n v="684"/>
    <x v="0"/>
  </r>
  <r>
    <d v="2024-12-23T00:00:00"/>
    <s v="Facebook"/>
    <n v="1155"/>
    <n v="425"/>
    <n v="93347"/>
    <n v="2.02"/>
    <n v="47502"/>
    <n v="730"/>
    <x v="0"/>
  </r>
  <r>
    <d v="2024-12-23T00:00:00"/>
    <s v="Twitter"/>
    <n v="1137"/>
    <n v="226"/>
    <n v="81119"/>
    <n v="7.74"/>
    <n v="35359"/>
    <n v="911"/>
    <x v="0"/>
  </r>
  <r>
    <d v="2024-12-23T00:00:00"/>
    <s v="YouTube"/>
    <n v="1900"/>
    <n v="311"/>
    <n v="25177"/>
    <n v="2.89"/>
    <n v="14154"/>
    <n v="1589"/>
    <x v="0"/>
  </r>
  <r>
    <d v="2024-12-30T00:00:00"/>
    <s v="Instagram"/>
    <n v="1814"/>
    <n v="49"/>
    <n v="140804"/>
    <n v="1.76"/>
    <n v="4313"/>
    <n v="1765"/>
    <x v="3"/>
  </r>
  <r>
    <d v="2024-12-30T00:00:00"/>
    <s v="Facebook"/>
    <n v="1980"/>
    <n v="204"/>
    <n v="379431"/>
    <n v="3.09"/>
    <n v="25140"/>
    <n v="1776"/>
    <x v="3"/>
  </r>
  <r>
    <d v="2024-12-30T00:00:00"/>
    <s v="Twitter"/>
    <n v="1786"/>
    <n v="257"/>
    <n v="274831"/>
    <n v="4.68"/>
    <n v="9118"/>
    <n v="1529"/>
    <x v="3"/>
  </r>
  <r>
    <d v="2024-12-30T00:00:00"/>
    <s v="YouTube"/>
    <n v="1495"/>
    <n v="35"/>
    <n v="136845"/>
    <n v="4.4800000000000004"/>
    <n v="39931"/>
    <n v="1460"/>
    <x v="3"/>
  </r>
  <r>
    <d v="2025-01-06T00:00:00"/>
    <s v="Instagram"/>
    <n v="1013"/>
    <n v="110"/>
    <n v="466382"/>
    <n v="5.3"/>
    <n v="37132"/>
    <n v="903"/>
    <x v="3"/>
  </r>
  <r>
    <d v="2025-01-06T00:00:00"/>
    <s v="Facebook"/>
    <n v="816"/>
    <n v="196"/>
    <n v="95728"/>
    <n v="8.1999999999999993"/>
    <n v="17951"/>
    <n v="620"/>
    <x v="3"/>
  </r>
  <r>
    <d v="2025-01-06T00:00:00"/>
    <s v="Twitter"/>
    <n v="1633"/>
    <n v="445"/>
    <n v="371156"/>
    <n v="2.2200000000000002"/>
    <n v="2798"/>
    <n v="1188"/>
    <x v="3"/>
  </r>
  <r>
    <d v="2025-01-06T00:00:00"/>
    <s v="YouTube"/>
    <n v="891"/>
    <n v="45"/>
    <n v="95410"/>
    <n v="8.33"/>
    <n v="15045"/>
    <n v="846"/>
    <x v="3"/>
  </r>
  <r>
    <d v="2025-01-13T00:00:00"/>
    <s v="Instagram"/>
    <n v="1855"/>
    <n v="133"/>
    <n v="349413"/>
    <n v="3.3"/>
    <n v="14548"/>
    <n v="1722"/>
    <x v="0"/>
  </r>
  <r>
    <d v="2025-01-13T00:00:00"/>
    <s v="Facebook"/>
    <n v="651"/>
    <n v="353"/>
    <n v="224699"/>
    <n v="5.61"/>
    <n v="45708"/>
    <n v="298"/>
    <x v="0"/>
  </r>
  <r>
    <d v="2025-01-13T00:00:00"/>
    <s v="Twitter"/>
    <n v="118"/>
    <n v="262"/>
    <n v="487896"/>
    <n v="2.56"/>
    <n v="12350"/>
    <n v="-144"/>
    <x v="0"/>
  </r>
  <r>
    <d v="2025-01-13T00:00:00"/>
    <s v="YouTube"/>
    <n v="1331"/>
    <n v="430"/>
    <n v="14437"/>
    <n v="3.29"/>
    <n v="40868"/>
    <n v="901"/>
    <x v="0"/>
  </r>
  <r>
    <d v="2025-01-20T00:00:00"/>
    <s v="Instagram"/>
    <n v="1748"/>
    <n v="176"/>
    <n v="383681"/>
    <n v="9.24"/>
    <n v="43122"/>
    <n v="1572"/>
    <x v="0"/>
  </r>
  <r>
    <d v="2025-01-20T00:00:00"/>
    <s v="Facebook"/>
    <n v="663"/>
    <n v="236"/>
    <n v="479490"/>
    <n v="4.51"/>
    <n v="23853"/>
    <n v="427"/>
    <x v="0"/>
  </r>
  <r>
    <d v="2025-01-20T00:00:00"/>
    <s v="Twitter"/>
    <n v="1040"/>
    <n v="149"/>
    <n v="124404"/>
    <n v="5.23"/>
    <n v="45380"/>
    <n v="891"/>
    <x v="0"/>
  </r>
  <r>
    <d v="2025-01-20T00:00:00"/>
    <s v="YouTube"/>
    <n v="1166"/>
    <n v="442"/>
    <n v="336949"/>
    <n v="4.68"/>
    <n v="7705"/>
    <n v="724"/>
    <x v="0"/>
  </r>
  <r>
    <d v="2025-01-27T00:00:00"/>
    <s v="Instagram"/>
    <n v="115"/>
    <n v="281"/>
    <n v="357265"/>
    <n v="9.23"/>
    <n v="25525"/>
    <n v="-166"/>
    <x v="0"/>
  </r>
  <r>
    <d v="2025-01-27T00:00:00"/>
    <s v="Facebook"/>
    <n v="1249"/>
    <n v="351"/>
    <n v="321307"/>
    <n v="6.37"/>
    <n v="20560"/>
    <n v="898"/>
    <x v="0"/>
  </r>
  <r>
    <d v="2025-01-27T00:00:00"/>
    <s v="Twitter"/>
    <n v="1501"/>
    <n v="75"/>
    <n v="262569"/>
    <n v="2.0099999999999998"/>
    <n v="19119"/>
    <n v="1426"/>
    <x v="0"/>
  </r>
  <r>
    <d v="2025-01-27T00:00:00"/>
    <s v="YouTube"/>
    <n v="1411"/>
    <n v="186"/>
    <n v="461669"/>
    <n v="3.72"/>
    <n v="43999"/>
    <n v="1225"/>
    <x v="0"/>
  </r>
  <r>
    <d v="2025-02-03T00:00:00"/>
    <s v="Instagram"/>
    <n v="1556"/>
    <n v="476"/>
    <n v="351556"/>
    <n v="3.89"/>
    <n v="10825"/>
    <n v="1080"/>
    <x v="0"/>
  </r>
  <r>
    <d v="2025-02-03T00:00:00"/>
    <s v="Facebook"/>
    <n v="1159"/>
    <n v="411"/>
    <n v="135987"/>
    <n v="8.6999999999999993"/>
    <n v="40323"/>
    <n v="748"/>
    <x v="0"/>
  </r>
  <r>
    <d v="2025-02-03T00:00:00"/>
    <s v="Twitter"/>
    <n v="927"/>
    <n v="358"/>
    <n v="177554"/>
    <n v="6.95"/>
    <n v="48270"/>
    <n v="569"/>
    <x v="0"/>
  </r>
  <r>
    <d v="2025-02-03T00:00:00"/>
    <s v="YouTube"/>
    <n v="152"/>
    <n v="355"/>
    <n v="270766"/>
    <n v="9.48"/>
    <n v="18001"/>
    <n v="-203"/>
    <x v="0"/>
  </r>
  <r>
    <d v="2025-02-10T00:00:00"/>
    <s v="Instagram"/>
    <n v="1957"/>
    <n v="234"/>
    <n v="222126"/>
    <n v="4.6100000000000003"/>
    <n v="3314"/>
    <n v="1723"/>
    <x v="0"/>
  </r>
  <r>
    <d v="2025-02-10T00:00:00"/>
    <s v="Facebook"/>
    <n v="1294"/>
    <n v="382"/>
    <n v="309914"/>
    <n v="8.0299999999999994"/>
    <n v="23489"/>
    <n v="912"/>
    <x v="0"/>
  </r>
  <r>
    <d v="2025-02-10T00:00:00"/>
    <s v="Twitter"/>
    <n v="1587"/>
    <n v="385"/>
    <n v="126582"/>
    <n v="6.99"/>
    <n v="42832"/>
    <n v="1202"/>
    <x v="0"/>
  </r>
  <r>
    <d v="2025-02-10T00:00:00"/>
    <s v="YouTube"/>
    <n v="1707"/>
    <n v="263"/>
    <n v="485280"/>
    <n v="9.0299999999999994"/>
    <n v="24494"/>
    <n v="1444"/>
    <x v="0"/>
  </r>
  <r>
    <d v="2025-02-17T00:00:00"/>
    <s v="Instagram"/>
    <n v="1138"/>
    <n v="173"/>
    <n v="453243"/>
    <n v="2.86"/>
    <n v="44097"/>
    <n v="965"/>
    <x v="0"/>
  </r>
  <r>
    <d v="2025-02-17T00:00:00"/>
    <s v="Facebook"/>
    <n v="1895"/>
    <n v="305"/>
    <n v="104967"/>
    <n v="3.85"/>
    <n v="31853"/>
    <n v="1590"/>
    <x v="0"/>
  </r>
  <r>
    <d v="2025-02-17T00:00:00"/>
    <s v="Twitter"/>
    <n v="362"/>
    <n v="399"/>
    <n v="145608"/>
    <n v="7.3"/>
    <n v="37636"/>
    <n v="-37"/>
    <x v="0"/>
  </r>
  <r>
    <d v="2025-02-17T00:00:00"/>
    <s v="YouTube"/>
    <n v="1662"/>
    <n v="487"/>
    <n v="105980"/>
    <n v="9.08"/>
    <n v="22996"/>
    <n v="1175"/>
    <x v="0"/>
  </r>
  <r>
    <d v="2025-02-24T00:00:00"/>
    <s v="Instagram"/>
    <n v="1440"/>
    <n v="65"/>
    <n v="126524"/>
    <n v="4.34"/>
    <n v="49772"/>
    <n v="1375"/>
    <x v="0"/>
  </r>
  <r>
    <d v="2025-02-24T00:00:00"/>
    <s v="Facebook"/>
    <n v="1884"/>
    <n v="177"/>
    <n v="230448"/>
    <n v="7.8"/>
    <n v="22713"/>
    <n v="1707"/>
    <x v="0"/>
  </r>
  <r>
    <d v="2025-02-24T00:00:00"/>
    <s v="Twitter"/>
    <n v="861"/>
    <n v="153"/>
    <n v="317007"/>
    <n v="3.85"/>
    <n v="8718"/>
    <n v="708"/>
    <x v="0"/>
  </r>
  <r>
    <d v="2025-02-24T00:00:00"/>
    <s v="YouTube"/>
    <n v="1063"/>
    <n v="47"/>
    <n v="464239"/>
    <n v="6.58"/>
    <n v="39031"/>
    <n v="1016"/>
    <x v="0"/>
  </r>
  <r>
    <d v="2025-03-03T00:00:00"/>
    <s v="Instagram"/>
    <n v="1371"/>
    <n v="56"/>
    <n v="257579"/>
    <n v="8.6199999999999992"/>
    <n v="33799"/>
    <n v="1315"/>
    <x v="4"/>
  </r>
  <r>
    <d v="2025-03-03T00:00:00"/>
    <s v="Facebook"/>
    <n v="345"/>
    <n v="464"/>
    <n v="366881"/>
    <n v="4.55"/>
    <n v="20553"/>
    <n v="-119"/>
    <x v="4"/>
  </r>
  <r>
    <d v="2025-03-03T00:00:00"/>
    <s v="Twitter"/>
    <n v="946"/>
    <n v="47"/>
    <n v="466575"/>
    <n v="8.33"/>
    <n v="10002"/>
    <n v="899"/>
    <x v="4"/>
  </r>
  <r>
    <d v="2025-03-03T00:00:00"/>
    <s v="YouTube"/>
    <n v="510"/>
    <n v="195"/>
    <n v="224534"/>
    <n v="9.4"/>
    <n v="30987"/>
    <n v="315"/>
    <x v="4"/>
  </r>
  <r>
    <d v="2025-03-10T00:00:00"/>
    <s v="Instagram"/>
    <n v="393"/>
    <n v="181"/>
    <n v="462142"/>
    <n v="7.23"/>
    <n v="6296"/>
    <n v="212"/>
    <x v="4"/>
  </r>
  <r>
    <d v="2025-03-10T00:00:00"/>
    <s v="Facebook"/>
    <n v="1098"/>
    <n v="190"/>
    <n v="340842"/>
    <n v="9.39"/>
    <n v="21539"/>
    <n v="908"/>
    <x v="4"/>
  </r>
  <r>
    <d v="2025-03-10T00:00:00"/>
    <s v="Twitter"/>
    <n v="1399"/>
    <n v="49"/>
    <n v="12471"/>
    <n v="5.12"/>
    <n v="14722"/>
    <n v="1350"/>
    <x v="4"/>
  </r>
  <r>
    <d v="2025-03-10T00:00:00"/>
    <s v="YouTube"/>
    <n v="1658"/>
    <n v="416"/>
    <n v="98397"/>
    <n v="6.11"/>
    <n v="11383"/>
    <n v="1242"/>
    <x v="4"/>
  </r>
  <r>
    <d v="2025-03-17T00:00:00"/>
    <s v="Instagram"/>
    <n v="1102"/>
    <n v="422"/>
    <n v="410330"/>
    <n v="7.74"/>
    <n v="9480"/>
    <n v="680"/>
    <x v="4"/>
  </r>
  <r>
    <d v="2025-03-17T00:00:00"/>
    <s v="Facebook"/>
    <n v="1358"/>
    <n v="242"/>
    <n v="342129"/>
    <n v="4.9400000000000004"/>
    <n v="29116"/>
    <n v="1116"/>
    <x v="4"/>
  </r>
  <r>
    <d v="2025-03-17T00:00:00"/>
    <s v="Twitter"/>
    <n v="1077"/>
    <n v="216"/>
    <n v="12447"/>
    <n v="1.8"/>
    <n v="14068"/>
    <n v="861"/>
    <x v="4"/>
  </r>
  <r>
    <d v="2025-03-17T00:00:00"/>
    <s v="YouTube"/>
    <n v="1596"/>
    <n v="211"/>
    <n v="17380"/>
    <n v="8.64"/>
    <n v="35801"/>
    <n v="1385"/>
    <x v="4"/>
  </r>
  <r>
    <d v="2025-03-24T00:00:00"/>
    <s v="Instagram"/>
    <n v="490"/>
    <n v="29"/>
    <n v="364810"/>
    <n v="1.53"/>
    <n v="49077"/>
    <n v="461"/>
    <x v="4"/>
  </r>
  <r>
    <d v="2025-03-24T00:00:00"/>
    <s v="Facebook"/>
    <n v="609"/>
    <n v="135"/>
    <n v="373606"/>
    <n v="8.52"/>
    <n v="21453"/>
    <n v="474"/>
    <x v="4"/>
  </r>
  <r>
    <d v="2025-03-24T00:00:00"/>
    <s v="Twitter"/>
    <n v="364"/>
    <n v="72"/>
    <n v="211090"/>
    <n v="5.53"/>
    <n v="21061"/>
    <n v="292"/>
    <x v="4"/>
  </r>
  <r>
    <d v="2025-03-24T00:00:00"/>
    <s v="YouTube"/>
    <n v="442"/>
    <n v="53"/>
    <n v="441931"/>
    <n v="1.87"/>
    <n v="20059"/>
    <n v="389"/>
    <x v="4"/>
  </r>
  <r>
    <d v="2025-03-31T00:00:00"/>
    <s v="Instagram"/>
    <n v="1033"/>
    <n v="392"/>
    <n v="282780"/>
    <n v="6.27"/>
    <n v="23140"/>
    <n v="641"/>
    <x v="4"/>
  </r>
  <r>
    <d v="2025-03-31T00:00:00"/>
    <s v="Facebook"/>
    <n v="988"/>
    <n v="474"/>
    <n v="370070"/>
    <n v="9.4600000000000009"/>
    <n v="23461"/>
    <n v="514"/>
    <x v="4"/>
  </r>
  <r>
    <d v="2025-03-31T00:00:00"/>
    <s v="Twitter"/>
    <n v="1946"/>
    <n v="270"/>
    <n v="198350"/>
    <n v="7.5"/>
    <n v="11805"/>
    <n v="1676"/>
    <x v="4"/>
  </r>
  <r>
    <d v="2025-03-31T00:00:00"/>
    <s v="YouTube"/>
    <n v="1957"/>
    <n v="490"/>
    <n v="435726"/>
    <n v="4.7300000000000004"/>
    <n v="15969"/>
    <n v="1467"/>
    <x v="4"/>
  </r>
  <r>
    <d v="2025-04-07T00:00:00"/>
    <s v="Instagram"/>
    <n v="559"/>
    <n v="392"/>
    <n v="78789"/>
    <n v="3.19"/>
    <n v="2436"/>
    <n v="167"/>
    <x v="0"/>
  </r>
  <r>
    <d v="2025-04-07T00:00:00"/>
    <s v="Facebook"/>
    <n v="1307"/>
    <n v="278"/>
    <n v="98596"/>
    <n v="2.4900000000000002"/>
    <n v="47603"/>
    <n v="1029"/>
    <x v="0"/>
  </r>
  <r>
    <d v="2025-04-07T00:00:00"/>
    <s v="Twitter"/>
    <n v="1432"/>
    <n v="425"/>
    <n v="29589"/>
    <n v="4.5"/>
    <n v="42964"/>
    <n v="1007"/>
    <x v="0"/>
  </r>
  <r>
    <d v="2025-04-07T00:00:00"/>
    <s v="YouTube"/>
    <n v="623"/>
    <n v="414"/>
    <n v="290354"/>
    <n v="6.49"/>
    <n v="39923"/>
    <n v="209"/>
    <x v="0"/>
  </r>
  <r>
    <d v="2025-04-14T00:00:00"/>
    <s v="Instagram"/>
    <n v="198"/>
    <n v="358"/>
    <n v="66682"/>
    <n v="6.73"/>
    <n v="2293"/>
    <n v="-160"/>
    <x v="0"/>
  </r>
  <r>
    <d v="2025-04-14T00:00:00"/>
    <s v="Facebook"/>
    <n v="198"/>
    <n v="373"/>
    <n v="70707"/>
    <n v="4.83"/>
    <n v="25920"/>
    <n v="-175"/>
    <x v="0"/>
  </r>
  <r>
    <d v="2025-04-14T00:00:00"/>
    <s v="Twitter"/>
    <n v="353"/>
    <n v="300"/>
    <n v="142507"/>
    <n v="5.3"/>
    <n v="11035"/>
    <n v="53"/>
    <x v="0"/>
  </r>
  <r>
    <d v="2025-04-14T00:00:00"/>
    <s v="YouTube"/>
    <n v="520"/>
    <n v="375"/>
    <n v="369525"/>
    <n v="6.54"/>
    <n v="20733"/>
    <n v="145"/>
    <x v="0"/>
  </r>
  <r>
    <d v="2025-04-21T00:00:00"/>
    <s v="Instagram"/>
    <n v="961"/>
    <n v="358"/>
    <n v="62942"/>
    <n v="6.8"/>
    <n v="18693"/>
    <n v="603"/>
    <x v="0"/>
  </r>
  <r>
    <d v="2025-04-21T00:00:00"/>
    <s v="Facebook"/>
    <n v="1375"/>
    <n v="330"/>
    <n v="377382"/>
    <n v="2.6"/>
    <n v="7875"/>
    <n v="1045"/>
    <x v="0"/>
  </r>
  <r>
    <d v="2025-04-21T00:00:00"/>
    <s v="Twitter"/>
    <n v="1147"/>
    <n v="388"/>
    <n v="333851"/>
    <n v="2.44"/>
    <n v="8471"/>
    <n v="759"/>
    <x v="0"/>
  </r>
  <r>
    <d v="2025-04-21T00:00:00"/>
    <s v="YouTube"/>
    <n v="1707"/>
    <n v="74"/>
    <n v="270958"/>
    <n v="3.09"/>
    <n v="14090"/>
    <n v="1633"/>
    <x v="0"/>
  </r>
  <r>
    <d v="2025-04-28T00:00:00"/>
    <s v="Instagram"/>
    <n v="1693"/>
    <n v="154"/>
    <n v="445944"/>
    <n v="5.69"/>
    <n v="14216"/>
    <n v="1539"/>
    <x v="0"/>
  </r>
  <r>
    <d v="2025-04-28T00:00:00"/>
    <s v="Facebook"/>
    <n v="833"/>
    <n v="380"/>
    <n v="224830"/>
    <n v="3.86"/>
    <n v="3582"/>
    <n v="453"/>
    <x v="0"/>
  </r>
  <r>
    <d v="2025-04-28T00:00:00"/>
    <s v="Twitter"/>
    <n v="1222"/>
    <n v="274"/>
    <n v="487289"/>
    <n v="3.16"/>
    <n v="32500"/>
    <n v="948"/>
    <x v="0"/>
  </r>
  <r>
    <d v="2025-04-28T00:00:00"/>
    <s v="YouTube"/>
    <n v="777"/>
    <n v="140"/>
    <n v="11435"/>
    <n v="1.6"/>
    <n v="6832"/>
    <n v="637"/>
    <x v="0"/>
  </r>
  <r>
    <d v="2025-05-05T00:00:00"/>
    <s v="Instagram"/>
    <n v="1957"/>
    <n v="76"/>
    <n v="447902"/>
    <n v="6.09"/>
    <n v="33381"/>
    <n v="1881"/>
    <x v="0"/>
  </r>
  <r>
    <d v="2025-05-05T00:00:00"/>
    <s v="Facebook"/>
    <n v="405"/>
    <n v="66"/>
    <n v="418696"/>
    <n v="5.59"/>
    <n v="48419"/>
    <n v="339"/>
    <x v="0"/>
  </r>
  <r>
    <d v="2025-05-05T00:00:00"/>
    <s v="Twitter"/>
    <n v="1581"/>
    <n v="71"/>
    <n v="484364"/>
    <n v="3.55"/>
    <n v="16149"/>
    <n v="1510"/>
    <x v="0"/>
  </r>
  <r>
    <d v="2025-05-05T00:00:00"/>
    <s v="YouTube"/>
    <n v="1035"/>
    <n v="171"/>
    <n v="148477"/>
    <n v="5.21"/>
    <n v="7541"/>
    <n v="864"/>
    <x v="0"/>
  </r>
  <r>
    <d v="2025-05-12T00:00:00"/>
    <s v="Instagram"/>
    <n v="1765"/>
    <n v="109"/>
    <n v="468301"/>
    <n v="1.82"/>
    <n v="20042"/>
    <n v="1656"/>
    <x v="0"/>
  </r>
  <r>
    <d v="2025-05-12T00:00:00"/>
    <s v="Facebook"/>
    <n v="837"/>
    <n v="430"/>
    <n v="364820"/>
    <n v="4"/>
    <n v="49400"/>
    <n v="407"/>
    <x v="0"/>
  </r>
  <r>
    <d v="2025-05-12T00:00:00"/>
    <s v="Twitter"/>
    <n v="337"/>
    <n v="68"/>
    <n v="456298"/>
    <n v="7.57"/>
    <n v="4007"/>
    <n v="269"/>
    <x v="0"/>
  </r>
  <r>
    <d v="2025-05-12T00:00:00"/>
    <s v="YouTube"/>
    <n v="119"/>
    <n v="456"/>
    <n v="82558"/>
    <n v="6.81"/>
    <n v="12174"/>
    <n v="-33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DEDD0-485F-4074-9076-3B3661FC3BC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4">
    <pivotField dataField="1" showAll="0"/>
    <pivotField dataField="1" showAll="0"/>
    <pivotField dataField="1" showAll="0"/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" baseField="3" baseItem="4"/>
    <dataField name="Average of Impressions2" fld="1" subtotal="average" baseField="3" baseItem="0"/>
    <dataField name="Sum of Likes" fld="0" baseField="0" baseItem="0"/>
    <dataField name="Average of Likes2" fld="0" subtotal="average" baseField="3" baseItem="0"/>
    <dataField name="Sum of Clicks" fld="2" baseField="0" baseItem="0"/>
    <dataField name="Average of Clicks2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08F99-B180-4847-87BC-F0D5D03EA87D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0" firstHeaderRow="1" firstDataRow="3" firstDataCol="1"/>
  <pivotFields count="14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axis="axisCol" showAll="0">
      <items count="4">
        <item x="0"/>
        <item x="1"/>
        <item h="1" x="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2">
    <field x="1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Average of Likes" fld="5" subtotal="average" baseField="12" baseItem="0"/>
    <dataField name="Average of Clicks" fld="10" subtotal="average" baseField="12" baseItem="0"/>
    <dataField name="Average of Impressions" fld="8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74C52-1F92-4EBC-B58C-8BC9D55D4C2C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4"/>
        <item x="2"/>
        <item x="3"/>
        <item h="1"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5">
    <i>
      <x/>
    </i>
    <i>
      <x v="4"/>
    </i>
    <i>
      <x v="1"/>
    </i>
    <i>
      <x v="2"/>
    </i>
    <i t="grand">
      <x/>
    </i>
  </rowItems>
  <colItems count="1">
    <i/>
  </colItems>
  <dataFields count="1">
    <dataField name="Sum of Net_Follower_Growth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DE773-BE7B-41FD-B848-62659527F28F}" name="Table2" displayName="Table2" ref="A1:N301" totalsRowShown="0">
  <autoFilter ref="A1:N301" xr:uid="{9C1DE773-BE7B-41FD-B848-62659527F28F}"/>
  <tableColumns count="14">
    <tableColumn id="1" xr3:uid="{92634D5A-C986-44E1-A282-C52792632FB3}" name="Post ID"/>
    <tableColumn id="2" xr3:uid="{0F20915A-F378-40C9-A72D-3576CDBB8739}" name="Platform"/>
    <tableColumn id="3" xr3:uid="{C4F40450-E744-4F05-BA2D-39A71D82B9BB}" name="Date" dataDxfId="31"/>
    <tableColumn id="4" xr3:uid="{99175CFB-7E3C-4750-969A-54977D812709}" name="Content Type"/>
    <tableColumn id="5" xr3:uid="{BCE90C16-0AAA-4D82-AC81-8B14F0204926}" name="Post Text"/>
    <tableColumn id="6" xr3:uid="{287F08A7-127F-47AE-8E13-4F7D27E950CF}" name="Likes"/>
    <tableColumn id="7" xr3:uid="{1B82A1FE-0D9B-4C4F-81A7-BB47DBA0054D}" name="Shares"/>
    <tableColumn id="8" xr3:uid="{79D21D4D-1C96-48F8-BD6C-616E7C9D078F}" name="Comments"/>
    <tableColumn id="9" xr3:uid="{E66E64D0-B01A-4A95-BB89-FE5332609933}" name="Impressions"/>
    <tableColumn id="10" xr3:uid="{528A1C2F-4DB7-46FD-A480-6324F3FE3555}" name="Reach"/>
    <tableColumn id="11" xr3:uid="{1A12FF95-338C-4836-9082-B17CDC138927}" name="Clicks"/>
    <tableColumn id="12" xr3:uid="{5A1B5980-4EA0-4A21-AF75-7095071CC2AE}" name="Hashtags Used"/>
    <tableColumn id="13" xr3:uid="{CF0DF943-BB8C-46A5-8E12-017191079A36}" name="Campaign_Name"/>
    <tableColumn id="14" xr3:uid="{BDE84A14-4726-4FAD-B173-E98E62EC5D5F}" name="Campaign_Phase">
      <calculatedColumnFormula>IF(M2="","No Campaign",
   IF(AND(C2&gt;=VLOOKUP(M2,Cleaned_Campaign_Data!B:D,2,FALSE),
          C2&lt;=VLOOKUP(M2,Cleaned_Campaign_Data!B:D,3,FALSE)),
      "During","Before"))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33070-1655-497B-8091-83FAF7CC892E}" name="Table3" displayName="Table3" ref="A1:I201" totalsRowShown="0" headerRowDxfId="30" dataDxfId="29">
  <autoFilter ref="A1:I201" xr:uid="{6A433070-1655-497B-8091-83FAF7CC892E}"/>
  <tableColumns count="9">
    <tableColumn id="1" xr3:uid="{5C7F297C-B154-4172-AE54-34BFEDA6F25C}" name="Week_Start_Date" dataDxfId="28"/>
    <tableColumn id="2" xr3:uid="{4C708560-C169-4E88-8017-D3B6970FC1F2}" name="Platform" dataDxfId="27"/>
    <tableColumn id="3" xr3:uid="{BDB16BD4-BCAD-459E-92C2-DEF0B22E5F58}" name="New_Followers" dataDxfId="26"/>
    <tableColumn id="4" xr3:uid="{58A37A86-2C17-4F4A-80EE-B13EDE3314EB}" name="Unfollows" dataDxfId="25"/>
    <tableColumn id="5" xr3:uid="{D5182426-05A7-41E4-849A-09FEEE92C505}" name="Total_Followers" dataDxfId="24"/>
    <tableColumn id="6" xr3:uid="{DEBC9649-16C9-4C60-A3A2-9E0C401771F2}" name="Engagement_Rate" dataDxfId="23"/>
    <tableColumn id="7" xr3:uid="{B336E884-0952-45D9-9938-1A5CE796E9F7}" name="Ad_Spend" dataDxfId="22"/>
    <tableColumn id="8" xr3:uid="{FEC6924A-FAB4-4419-93E3-3B0FAE95884F}" name="Net_Follower_Growth">
      <calculatedColumnFormula xml:space="preserve"> C2 - D2</calculatedColumnFormula>
    </tableColumn>
    <tableColumn id="9" xr3:uid="{C8CBBF38-ADF8-4350-975B-C2F468B35B65}" name="Campaign_Name">
      <calculatedColumnFormula array="1">IFERROR(
   INDEX(Cleaned_Campaign_Data!$B:$B,
         MATCH(1,
               (A2&gt;=Cleaned_Campaign_Data!$C:$C)*
               (A2&lt;=Cleaned_Campaign_Data!$D:$D),
               0)
        ),
   "No Campaign"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ACA395-6B46-414B-A294-16D4F1BE0088}" name="Table4" displayName="Table4" ref="A1:G5" totalsRowShown="0" headerRowDxfId="21" headerRowBorderDxfId="20" tableBorderDxfId="19" totalsRowBorderDxfId="18">
  <autoFilter ref="A1:G5" xr:uid="{47ACA395-6B46-414B-A294-16D4F1BE0088}"/>
  <tableColumns count="7">
    <tableColumn id="1" xr3:uid="{6AC507F5-6D54-4AB4-9CA2-CF6930557F1E}" name="Campaign_Name" dataDxfId="17"/>
    <tableColumn id="2" xr3:uid="{64332D6A-C17A-4B00-9382-8EC54760CBBA}" name="Start_Date" dataDxfId="16"/>
    <tableColumn id="3" xr3:uid="{CAE815DA-1423-4E9A-B14B-B15C86DA9D56}" name="End_Date" dataDxfId="15"/>
    <tableColumn id="4" xr3:uid="{7CEA9009-C1B1-4EA9-82F8-8B9F96BDDFCF}" name="Objective" dataDxfId="14"/>
    <tableColumn id="5" xr3:uid="{DB53D442-9BD0-407B-ACB8-71D94C401D36}" name="Total_Budget" dataDxfId="13"/>
    <tableColumn id="6" xr3:uid="{C7AA8A5C-7799-465F-A338-53E6A0E46B66}" name="Target_Platforms" dataDxfId="12"/>
    <tableColumn id="7" xr3:uid="{8F3C7CC2-70FC-4A8D-B617-FF1EA5502D22}" name="Primary_Hashtags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66F3EA-A2DF-4D46-AEE8-9501E028119B}" name="Table5" displayName="Table5" ref="A1:I5" totalsRowShown="0">
  <autoFilter ref="A1:I5" xr:uid="{5F66F3EA-A2DF-4D46-AEE8-9501E028119B}"/>
  <tableColumns count="9">
    <tableColumn id="1" xr3:uid="{49D491C3-AEF7-4B55-88A4-4D9E9C7A85C8}" name="Campaign_ID"/>
    <tableColumn id="2" xr3:uid="{FC9C530D-820C-4356-8756-30D9D99E4DD4}" name="Campaign_Name"/>
    <tableColumn id="3" xr3:uid="{902D782F-FA74-43C8-BD42-14388EEBA54A}" name="Start_Date" dataDxfId="10"/>
    <tableColumn id="4" xr3:uid="{81CF167B-C7BC-4DE3-909D-DE3B577E0AD1}" name="End_Date" dataDxfId="9"/>
    <tableColumn id="5" xr3:uid="{2B115A32-93C0-4D83-9411-95D0225216CD}" name="Objective"/>
    <tableColumn id="6" xr3:uid="{3FDA8996-AC3A-4391-9E53-E958AFDDA4B9}" name="Ad_Spend"/>
    <tableColumn id="7" xr3:uid="{1B15E8D9-044A-454B-829E-6080FE73F995}" name=" Platform_1"/>
    <tableColumn id="8" xr3:uid="{DE0A8D70-F782-4345-8B3F-281F18430D79}" name="Platform_2"/>
    <tableColumn id="9" xr3:uid="{AE7432F1-6528-4F51-B01E-91F56E17E67B}" name="Primary_Hashtag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CB896-2E2A-4439-8736-DA596AD97851}" name="Table1" displayName="Table1" ref="A1:D301" totalsRowShown="0" headerRowDxfId="8" dataDxfId="6" headerRowBorderDxfId="7" tableBorderDxfId="5" totalsRowBorderDxfId="4">
  <autoFilter ref="A1:D301" xr:uid="{BC1CB896-2E2A-4439-8736-DA596AD97851}"/>
  <tableColumns count="4">
    <tableColumn id="1" xr3:uid="{2C68EF19-E29B-43F7-A7D2-64D3F6D2CEE6}" name="Likes" dataDxfId="3"/>
    <tableColumn id="2" xr3:uid="{334E1EBE-2E81-45A3-A6BB-EE8E23CC8556}" name="Impressions" dataDxfId="2"/>
    <tableColumn id="3" xr3:uid="{C6E99635-F8F1-40E3-8AE4-630424BA0595}" name="Clicks" dataDxfId="1"/>
    <tableColumn id="4" xr3:uid="{FB06125C-A3D6-47DE-92C2-588D130AEDD4}" name="Campaign_Name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1A2786-E52A-4BC6-BB8F-B201E155F98D}" name="Table6" displayName="Table6" ref="A1:F5" totalsRowShown="0">
  <autoFilter ref="A1:F5" xr:uid="{251A2786-E52A-4BC6-BB8F-B201E155F98D}"/>
  <tableColumns count="6">
    <tableColumn id="1" xr3:uid="{509F1C15-EFE2-40BE-9CA2-AF645FB0F5F7}" name="Campaign_Name"/>
    <tableColumn id="2" xr3:uid="{2988F4D9-F373-45B1-824A-DF8ABE56E851}" name="Ad_Spend"/>
    <tableColumn id="3" xr3:uid="{FBF02009-9671-4A00-95EC-184592A3A8E3}" name="Total_Likes"/>
    <tableColumn id="4" xr3:uid="{83CF97B8-CD63-4B5E-B290-C3EC2ADF0989}" name="Total Clicks"/>
    <tableColumn id="5" xr3:uid="{CD7D1785-2FB9-4942-BDD9-8D027058DCCE}" name="Total_Engagement">
      <calculatedColumnFormula xml:space="preserve"> C2 + D2</calculatedColumnFormula>
    </tableColumn>
    <tableColumn id="6" xr3:uid="{BAB53E6D-5497-49B1-A40C-F4FE352F2B1E}" name="ROI">
      <calculatedColumnFormula xml:space="preserve"> E2 / 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3D97-3DBF-47CE-8E77-16A20E891C3C}">
  <dimension ref="A1:M301"/>
  <sheetViews>
    <sheetView topLeftCell="A298" zoomScaleNormal="100" workbookViewId="0">
      <selection activeCell="I18" sqref="I18"/>
    </sheetView>
  </sheetViews>
  <sheetFormatPr defaultRowHeight="14.4" x14ac:dyDescent="0.3"/>
  <sheetData>
    <row r="1" spans="1:13" ht="29.35" thickBot="1" x14ac:dyDescent="0.35">
      <c r="A1" s="1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35</v>
      </c>
      <c r="G1" s="2" t="s">
        <v>52</v>
      </c>
      <c r="H1" s="2" t="s">
        <v>53</v>
      </c>
      <c r="I1" s="2" t="s">
        <v>36</v>
      </c>
      <c r="J1" s="2" t="s">
        <v>54</v>
      </c>
      <c r="K1" s="2" t="s">
        <v>37</v>
      </c>
      <c r="L1" s="2" t="s">
        <v>55</v>
      </c>
      <c r="M1" s="2" t="s">
        <v>0</v>
      </c>
    </row>
    <row r="2" spans="1:13" ht="72.55" thickBot="1" x14ac:dyDescent="0.35">
      <c r="A2" s="7" t="s">
        <v>56</v>
      </c>
      <c r="B2" s="7" t="s">
        <v>32</v>
      </c>
      <c r="C2" s="15">
        <v>45649</v>
      </c>
      <c r="D2" s="7" t="s">
        <v>57</v>
      </c>
      <c r="E2" s="7" t="s">
        <v>58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16" t="s">
        <v>59</v>
      </c>
      <c r="M2" s="7" t="s">
        <v>7</v>
      </c>
    </row>
    <row r="3" spans="1:13" ht="72.55" thickBot="1" x14ac:dyDescent="0.35">
      <c r="A3" s="7" t="s">
        <v>60</v>
      </c>
      <c r="B3" s="7" t="s">
        <v>32</v>
      </c>
      <c r="C3" s="15">
        <v>45750</v>
      </c>
      <c r="D3" s="7" t="s">
        <v>61</v>
      </c>
      <c r="E3" s="7" t="s">
        <v>62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16" t="s">
        <v>63</v>
      </c>
      <c r="M3" s="7" t="s">
        <v>11</v>
      </c>
    </row>
    <row r="4" spans="1:13" ht="72.55" thickBot="1" x14ac:dyDescent="0.35">
      <c r="A4" s="7" t="s">
        <v>64</v>
      </c>
      <c r="B4" s="7" t="s">
        <v>31</v>
      </c>
      <c r="C4" s="15">
        <v>45789</v>
      </c>
      <c r="D4" s="7" t="s">
        <v>57</v>
      </c>
      <c r="E4" s="7" t="s">
        <v>65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16" t="s">
        <v>66</v>
      </c>
      <c r="M4" s="7" t="s">
        <v>15</v>
      </c>
    </row>
    <row r="5" spans="1:13" ht="86.95" thickBot="1" x14ac:dyDescent="0.35">
      <c r="A5" s="7" t="s">
        <v>67</v>
      </c>
      <c r="B5" s="7" t="s">
        <v>29</v>
      </c>
      <c r="C5" s="15">
        <v>45516</v>
      </c>
      <c r="D5" s="7" t="s">
        <v>68</v>
      </c>
      <c r="E5" s="7" t="s">
        <v>69</v>
      </c>
      <c r="F5" s="8">
        <v>2404</v>
      </c>
      <c r="G5" s="8">
        <v>363</v>
      </c>
      <c r="H5" s="8">
        <v>138</v>
      </c>
      <c r="I5" s="8">
        <v>19232</v>
      </c>
      <c r="J5" s="8">
        <v>18636</v>
      </c>
      <c r="K5" s="8">
        <v>128</v>
      </c>
      <c r="L5" s="16" t="s">
        <v>70</v>
      </c>
      <c r="M5" s="7" t="s">
        <v>19</v>
      </c>
    </row>
    <row r="6" spans="1:13" ht="72.55" thickBot="1" x14ac:dyDescent="0.35">
      <c r="A6" s="7" t="s">
        <v>71</v>
      </c>
      <c r="B6" s="7" t="s">
        <v>31</v>
      </c>
      <c r="C6" s="15">
        <v>45469</v>
      </c>
      <c r="D6" s="7" t="s">
        <v>57</v>
      </c>
      <c r="E6" s="7" t="s">
        <v>65</v>
      </c>
      <c r="F6" s="8">
        <v>3557</v>
      </c>
      <c r="G6" s="8">
        <v>687</v>
      </c>
      <c r="H6" s="8">
        <v>424</v>
      </c>
      <c r="I6" s="8">
        <v>71140</v>
      </c>
      <c r="J6" s="8">
        <v>70701</v>
      </c>
      <c r="K6" s="8">
        <v>224</v>
      </c>
      <c r="L6" s="16" t="s">
        <v>10</v>
      </c>
      <c r="M6" s="7" t="s">
        <v>7</v>
      </c>
    </row>
    <row r="7" spans="1:13" ht="101.35" thickBot="1" x14ac:dyDescent="0.35">
      <c r="A7" s="7" t="s">
        <v>72</v>
      </c>
      <c r="B7" s="7" t="s">
        <v>30</v>
      </c>
      <c r="C7" s="15">
        <v>45596</v>
      </c>
      <c r="D7" s="7" t="s">
        <v>73</v>
      </c>
      <c r="E7" s="7" t="s">
        <v>74</v>
      </c>
      <c r="F7" s="8">
        <v>2945</v>
      </c>
      <c r="G7" s="8">
        <v>930</v>
      </c>
      <c r="H7" s="8">
        <v>355</v>
      </c>
      <c r="I7" s="8">
        <v>23560</v>
      </c>
      <c r="J7" s="8">
        <v>23275</v>
      </c>
      <c r="K7" s="8">
        <v>256</v>
      </c>
      <c r="L7" s="16" t="s">
        <v>66</v>
      </c>
      <c r="M7" s="7" t="s">
        <v>11</v>
      </c>
    </row>
    <row r="8" spans="1:13" ht="86.95" thickBot="1" x14ac:dyDescent="0.35">
      <c r="A8" s="7" t="s">
        <v>75</v>
      </c>
      <c r="B8" s="7" t="s">
        <v>32</v>
      </c>
      <c r="C8" s="15">
        <v>45467</v>
      </c>
      <c r="D8" s="7" t="s">
        <v>73</v>
      </c>
      <c r="E8" s="7" t="s">
        <v>76</v>
      </c>
      <c r="F8" s="8">
        <v>3860</v>
      </c>
      <c r="G8" s="8">
        <v>201</v>
      </c>
      <c r="H8" s="8">
        <v>279</v>
      </c>
      <c r="I8" s="8">
        <v>61760</v>
      </c>
      <c r="J8" s="8">
        <v>61660</v>
      </c>
      <c r="K8" s="8">
        <v>235</v>
      </c>
      <c r="L8" s="16" t="s">
        <v>66</v>
      </c>
      <c r="M8" s="7" t="s">
        <v>11</v>
      </c>
    </row>
    <row r="9" spans="1:13" ht="72.55" thickBot="1" x14ac:dyDescent="0.35">
      <c r="A9" s="7" t="s">
        <v>77</v>
      </c>
      <c r="B9" s="7" t="s">
        <v>31</v>
      </c>
      <c r="C9" s="15">
        <v>45486</v>
      </c>
      <c r="D9" s="7" t="s">
        <v>78</v>
      </c>
      <c r="E9" s="7" t="s">
        <v>79</v>
      </c>
      <c r="F9" s="8">
        <v>3929</v>
      </c>
      <c r="G9" s="8">
        <v>262</v>
      </c>
      <c r="H9" s="8">
        <v>278</v>
      </c>
      <c r="I9" s="8">
        <v>43219</v>
      </c>
      <c r="J9" s="8">
        <v>42841</v>
      </c>
      <c r="K9" s="8">
        <v>39</v>
      </c>
      <c r="L9" s="16" t="s">
        <v>70</v>
      </c>
      <c r="M9" s="7" t="s">
        <v>19</v>
      </c>
    </row>
    <row r="10" spans="1:13" ht="86.95" thickBot="1" x14ac:dyDescent="0.35">
      <c r="A10" s="7" t="s">
        <v>80</v>
      </c>
      <c r="B10" s="7" t="s">
        <v>30</v>
      </c>
      <c r="C10" s="15">
        <v>45534</v>
      </c>
      <c r="D10" s="7" t="s">
        <v>61</v>
      </c>
      <c r="E10" s="7" t="s">
        <v>81</v>
      </c>
      <c r="F10" s="8">
        <v>3784</v>
      </c>
      <c r="G10" s="8">
        <v>808</v>
      </c>
      <c r="H10" s="8">
        <v>404</v>
      </c>
      <c r="I10" s="8">
        <v>56760</v>
      </c>
      <c r="J10" s="8">
        <v>56343</v>
      </c>
      <c r="K10" s="8">
        <v>131</v>
      </c>
      <c r="L10" s="16" t="s">
        <v>66</v>
      </c>
      <c r="M10" s="7" t="s">
        <v>11</v>
      </c>
    </row>
    <row r="11" spans="1:13" ht="86.95" thickBot="1" x14ac:dyDescent="0.35">
      <c r="A11" s="7" t="s">
        <v>82</v>
      </c>
      <c r="B11" s="7" t="s">
        <v>30</v>
      </c>
      <c r="C11" s="15">
        <v>45727</v>
      </c>
      <c r="D11" s="7" t="s">
        <v>78</v>
      </c>
      <c r="E11" s="7" t="s">
        <v>83</v>
      </c>
      <c r="F11" s="8">
        <v>4241</v>
      </c>
      <c r="G11" s="8">
        <v>902</v>
      </c>
      <c r="H11" s="8">
        <v>47</v>
      </c>
      <c r="I11" s="8">
        <v>72097</v>
      </c>
      <c r="J11" s="8">
        <v>71598</v>
      </c>
      <c r="K11" s="8">
        <v>167</v>
      </c>
      <c r="L11" s="16" t="s">
        <v>66</v>
      </c>
      <c r="M11" s="7" t="s">
        <v>11</v>
      </c>
    </row>
    <row r="12" spans="1:13" ht="86.95" thickBot="1" x14ac:dyDescent="0.35">
      <c r="A12" s="7" t="s">
        <v>84</v>
      </c>
      <c r="B12" s="7" t="s">
        <v>29</v>
      </c>
      <c r="C12" s="15">
        <v>45690</v>
      </c>
      <c r="D12" s="7" t="s">
        <v>68</v>
      </c>
      <c r="E12" s="7" t="s">
        <v>69</v>
      </c>
      <c r="F12" s="8">
        <v>1792</v>
      </c>
      <c r="G12" s="8">
        <v>614</v>
      </c>
      <c r="H12" s="8">
        <v>497</v>
      </c>
      <c r="I12" s="8">
        <v>25088</v>
      </c>
      <c r="J12" s="8">
        <v>24675</v>
      </c>
      <c r="K12" s="8">
        <v>65</v>
      </c>
      <c r="L12" s="16" t="s">
        <v>85</v>
      </c>
      <c r="M12" s="7" t="s">
        <v>19</v>
      </c>
    </row>
    <row r="13" spans="1:13" ht="86.95" thickBot="1" x14ac:dyDescent="0.35">
      <c r="A13" s="7" t="s">
        <v>86</v>
      </c>
      <c r="B13" s="7" t="s">
        <v>30</v>
      </c>
      <c r="C13" s="15">
        <v>45494</v>
      </c>
      <c r="D13" s="7" t="s">
        <v>57</v>
      </c>
      <c r="E13" s="7" t="s">
        <v>87</v>
      </c>
      <c r="F13" s="8">
        <v>1946</v>
      </c>
      <c r="G13" s="8">
        <v>686</v>
      </c>
      <c r="H13" s="8">
        <v>377</v>
      </c>
      <c r="I13" s="8">
        <v>23352</v>
      </c>
      <c r="J13" s="8">
        <v>22982</v>
      </c>
      <c r="K13" s="8">
        <v>213</v>
      </c>
      <c r="L13" s="16" t="s">
        <v>85</v>
      </c>
      <c r="M13" s="7" t="s">
        <v>15</v>
      </c>
    </row>
    <row r="14" spans="1:13" ht="86.95" thickBot="1" x14ac:dyDescent="0.35">
      <c r="A14" s="7" t="s">
        <v>88</v>
      </c>
      <c r="B14" s="7" t="s">
        <v>31</v>
      </c>
      <c r="C14" s="15">
        <v>45614</v>
      </c>
      <c r="D14" s="7" t="s">
        <v>73</v>
      </c>
      <c r="E14" s="7" t="s">
        <v>89</v>
      </c>
      <c r="F14" s="8">
        <v>1171</v>
      </c>
      <c r="G14" s="8">
        <v>286</v>
      </c>
      <c r="H14" s="8">
        <v>231</v>
      </c>
      <c r="I14" s="8">
        <v>22249</v>
      </c>
      <c r="J14" s="8">
        <v>21282</v>
      </c>
      <c r="K14" s="8">
        <v>114</v>
      </c>
      <c r="L14" s="16" t="s">
        <v>70</v>
      </c>
      <c r="M14" s="7" t="s">
        <v>7</v>
      </c>
    </row>
    <row r="15" spans="1:13" ht="86.95" thickBot="1" x14ac:dyDescent="0.35">
      <c r="A15" s="7" t="s">
        <v>90</v>
      </c>
      <c r="B15" s="7" t="s">
        <v>30</v>
      </c>
      <c r="C15" s="15">
        <v>45704</v>
      </c>
      <c r="D15" s="7" t="s">
        <v>68</v>
      </c>
      <c r="E15" s="7" t="s">
        <v>91</v>
      </c>
      <c r="F15" s="8">
        <v>4242</v>
      </c>
      <c r="G15" s="8">
        <v>555</v>
      </c>
      <c r="H15" s="8">
        <v>131</v>
      </c>
      <c r="I15" s="8">
        <v>33936</v>
      </c>
      <c r="J15" s="8">
        <v>33802</v>
      </c>
      <c r="K15" s="8">
        <v>265</v>
      </c>
      <c r="L15" s="16" t="s">
        <v>85</v>
      </c>
      <c r="M15" s="7"/>
    </row>
    <row r="16" spans="1:13" ht="86.95" thickBot="1" x14ac:dyDescent="0.35">
      <c r="A16" s="7" t="s">
        <v>92</v>
      </c>
      <c r="B16" s="7" t="s">
        <v>30</v>
      </c>
      <c r="C16" s="15">
        <v>45589</v>
      </c>
      <c r="D16" s="7" t="s">
        <v>93</v>
      </c>
      <c r="E16" s="7" t="s">
        <v>94</v>
      </c>
      <c r="F16" s="8">
        <v>3888</v>
      </c>
      <c r="G16" s="8">
        <v>604</v>
      </c>
      <c r="H16" s="8">
        <v>128</v>
      </c>
      <c r="I16" s="8">
        <v>77760</v>
      </c>
      <c r="J16" s="8">
        <v>77167</v>
      </c>
      <c r="K16" s="8">
        <v>20</v>
      </c>
      <c r="L16" s="16" t="s">
        <v>85</v>
      </c>
      <c r="M16" s="7" t="s">
        <v>7</v>
      </c>
    </row>
    <row r="17" spans="1:13" ht="86.95" thickBot="1" x14ac:dyDescent="0.35">
      <c r="A17" s="7" t="s">
        <v>95</v>
      </c>
      <c r="B17" s="7" t="s">
        <v>30</v>
      </c>
      <c r="C17" s="15">
        <v>45530</v>
      </c>
      <c r="D17" s="7" t="s">
        <v>61</v>
      </c>
      <c r="E17" s="7" t="s">
        <v>81</v>
      </c>
      <c r="F17" s="8">
        <v>3452</v>
      </c>
      <c r="G17" s="8">
        <v>377</v>
      </c>
      <c r="H17" s="8">
        <v>360</v>
      </c>
      <c r="I17" s="8">
        <v>55232</v>
      </c>
      <c r="J17" s="8">
        <v>55075</v>
      </c>
      <c r="K17" s="8">
        <v>87</v>
      </c>
      <c r="L17" s="16" t="s">
        <v>85</v>
      </c>
      <c r="M17" s="7" t="s">
        <v>15</v>
      </c>
    </row>
    <row r="18" spans="1:13" ht="86.95" thickBot="1" x14ac:dyDescent="0.35">
      <c r="A18" s="7" t="s">
        <v>96</v>
      </c>
      <c r="B18" s="7" t="s">
        <v>30</v>
      </c>
      <c r="C18" s="15">
        <v>45782</v>
      </c>
      <c r="D18" s="7" t="s">
        <v>61</v>
      </c>
      <c r="E18" s="7" t="s">
        <v>81</v>
      </c>
      <c r="F18" s="8">
        <v>4441</v>
      </c>
      <c r="G18" s="8">
        <v>511</v>
      </c>
      <c r="H18" s="8">
        <v>70</v>
      </c>
      <c r="I18" s="8">
        <v>53292</v>
      </c>
      <c r="J18" s="8">
        <v>53082</v>
      </c>
      <c r="K18" s="8">
        <v>159</v>
      </c>
      <c r="L18" s="16" t="s">
        <v>70</v>
      </c>
      <c r="M18" s="7" t="s">
        <v>19</v>
      </c>
    </row>
    <row r="19" spans="1:13" ht="86.95" thickBot="1" x14ac:dyDescent="0.35">
      <c r="A19" s="7" t="s">
        <v>97</v>
      </c>
      <c r="B19" s="7" t="s">
        <v>29</v>
      </c>
      <c r="C19" s="15">
        <v>45523</v>
      </c>
      <c r="D19" s="7" t="s">
        <v>57</v>
      </c>
      <c r="E19" s="7" t="s">
        <v>98</v>
      </c>
      <c r="F19" s="8">
        <v>3000</v>
      </c>
      <c r="G19" s="8">
        <v>382</v>
      </c>
      <c r="H19" s="8">
        <v>325</v>
      </c>
      <c r="I19" s="8">
        <v>36000</v>
      </c>
      <c r="J19" s="8">
        <v>35819</v>
      </c>
      <c r="K19" s="8">
        <v>19</v>
      </c>
      <c r="L19" s="16" t="s">
        <v>85</v>
      </c>
      <c r="M19" s="7" t="s">
        <v>7</v>
      </c>
    </row>
    <row r="20" spans="1:13" ht="86.95" thickBot="1" x14ac:dyDescent="0.35">
      <c r="A20" s="7" t="s">
        <v>99</v>
      </c>
      <c r="B20" s="7" t="s">
        <v>29</v>
      </c>
      <c r="C20" s="15">
        <v>45466</v>
      </c>
      <c r="D20" s="7" t="s">
        <v>93</v>
      </c>
      <c r="E20" s="7" t="s">
        <v>100</v>
      </c>
      <c r="F20" s="8">
        <v>1071</v>
      </c>
      <c r="G20" s="8">
        <v>519</v>
      </c>
      <c r="H20" s="8">
        <v>22</v>
      </c>
      <c r="I20" s="8">
        <v>16065</v>
      </c>
      <c r="J20" s="8">
        <v>15865</v>
      </c>
      <c r="K20" s="8">
        <v>103</v>
      </c>
      <c r="L20" s="16" t="s">
        <v>66</v>
      </c>
      <c r="M20" s="7" t="s">
        <v>19</v>
      </c>
    </row>
    <row r="21" spans="1:13" ht="101.35" thickBot="1" x14ac:dyDescent="0.35">
      <c r="A21" s="7" t="s">
        <v>101</v>
      </c>
      <c r="B21" s="7" t="s">
        <v>29</v>
      </c>
      <c r="C21" s="15">
        <v>45544</v>
      </c>
      <c r="D21" s="7" t="s">
        <v>73</v>
      </c>
      <c r="E21" s="7" t="s">
        <v>102</v>
      </c>
      <c r="F21" s="8">
        <v>4054</v>
      </c>
      <c r="G21" s="8">
        <v>488</v>
      </c>
      <c r="H21" s="8">
        <v>373</v>
      </c>
      <c r="I21" s="8">
        <v>77026</v>
      </c>
      <c r="J21" s="8">
        <v>76881</v>
      </c>
      <c r="K21" s="8">
        <v>25</v>
      </c>
      <c r="L21" s="16" t="s">
        <v>66</v>
      </c>
      <c r="M21" s="7" t="s">
        <v>7</v>
      </c>
    </row>
    <row r="22" spans="1:13" ht="86.95" thickBot="1" x14ac:dyDescent="0.35">
      <c r="A22" s="7" t="s">
        <v>103</v>
      </c>
      <c r="B22" s="7" t="s">
        <v>29</v>
      </c>
      <c r="C22" s="15">
        <v>45661</v>
      </c>
      <c r="D22" s="7" t="s">
        <v>57</v>
      </c>
      <c r="E22" s="7" t="s">
        <v>98</v>
      </c>
      <c r="F22" s="8">
        <v>4838</v>
      </c>
      <c r="G22" s="8">
        <v>640</v>
      </c>
      <c r="H22" s="8">
        <v>128</v>
      </c>
      <c r="I22" s="8">
        <v>72570</v>
      </c>
      <c r="J22" s="8">
        <v>72396</v>
      </c>
      <c r="K22" s="8">
        <v>83</v>
      </c>
      <c r="L22" s="16" t="s">
        <v>85</v>
      </c>
      <c r="M22" s="7" t="s">
        <v>19</v>
      </c>
    </row>
    <row r="23" spans="1:13" ht="86.95" thickBot="1" x14ac:dyDescent="0.35">
      <c r="A23" s="7" t="s">
        <v>104</v>
      </c>
      <c r="B23" s="7" t="s">
        <v>30</v>
      </c>
      <c r="C23" s="15">
        <v>45715</v>
      </c>
      <c r="D23" s="7" t="s">
        <v>61</v>
      </c>
      <c r="E23" s="7" t="s">
        <v>81</v>
      </c>
      <c r="F23" s="8">
        <v>1570</v>
      </c>
      <c r="G23" s="8">
        <v>187</v>
      </c>
      <c r="H23" s="8">
        <v>260</v>
      </c>
      <c r="I23" s="8">
        <v>25120</v>
      </c>
      <c r="J23" s="8">
        <v>24613</v>
      </c>
      <c r="K23" s="8">
        <v>133</v>
      </c>
      <c r="L23" s="16" t="s">
        <v>66</v>
      </c>
      <c r="M23" s="7" t="s">
        <v>19</v>
      </c>
    </row>
    <row r="24" spans="1:13" ht="86.95" thickBot="1" x14ac:dyDescent="0.35">
      <c r="A24" s="7" t="s">
        <v>105</v>
      </c>
      <c r="B24" s="7" t="s">
        <v>30</v>
      </c>
      <c r="C24" s="15">
        <v>45602</v>
      </c>
      <c r="D24" s="7" t="s">
        <v>93</v>
      </c>
      <c r="E24" s="7" t="s">
        <v>94</v>
      </c>
      <c r="F24" s="8">
        <v>1606</v>
      </c>
      <c r="G24" s="8">
        <v>547</v>
      </c>
      <c r="H24" s="8">
        <v>316</v>
      </c>
      <c r="I24" s="8">
        <v>32120</v>
      </c>
      <c r="J24" s="8">
        <v>31736</v>
      </c>
      <c r="K24" s="8">
        <v>225</v>
      </c>
      <c r="L24" s="16" t="s">
        <v>106</v>
      </c>
      <c r="M24" s="7" t="s">
        <v>11</v>
      </c>
    </row>
    <row r="25" spans="1:13" ht="86.95" thickBot="1" x14ac:dyDescent="0.35">
      <c r="A25" s="7" t="s">
        <v>107</v>
      </c>
      <c r="B25" s="7" t="s">
        <v>30</v>
      </c>
      <c r="C25" s="15">
        <v>45680</v>
      </c>
      <c r="D25" s="7" t="s">
        <v>93</v>
      </c>
      <c r="E25" s="7" t="s">
        <v>94</v>
      </c>
      <c r="F25" s="8">
        <v>3961</v>
      </c>
      <c r="G25" s="8">
        <v>761</v>
      </c>
      <c r="H25" s="8">
        <v>131</v>
      </c>
      <c r="I25" s="8">
        <v>67337</v>
      </c>
      <c r="J25" s="8">
        <v>66615</v>
      </c>
      <c r="K25" s="8">
        <v>161</v>
      </c>
      <c r="L25" s="16" t="s">
        <v>85</v>
      </c>
      <c r="M25" s="7" t="s">
        <v>15</v>
      </c>
    </row>
    <row r="26" spans="1:13" ht="86.95" thickBot="1" x14ac:dyDescent="0.35">
      <c r="A26" s="7" t="s">
        <v>108</v>
      </c>
      <c r="B26" s="7" t="s">
        <v>32</v>
      </c>
      <c r="C26" s="15">
        <v>45757</v>
      </c>
      <c r="D26" s="7" t="s">
        <v>73</v>
      </c>
      <c r="E26" s="7" t="s">
        <v>76</v>
      </c>
      <c r="F26" s="8">
        <v>3128</v>
      </c>
      <c r="G26" s="8">
        <v>211</v>
      </c>
      <c r="H26" s="8">
        <v>197</v>
      </c>
      <c r="I26" s="8">
        <v>59432</v>
      </c>
      <c r="J26" s="8">
        <v>59182</v>
      </c>
      <c r="K26" s="8">
        <v>238</v>
      </c>
      <c r="L26" s="16" t="s">
        <v>70</v>
      </c>
      <c r="M26" s="7"/>
    </row>
    <row r="27" spans="1:13" ht="72.55" thickBot="1" x14ac:dyDescent="0.35">
      <c r="A27" s="7" t="s">
        <v>109</v>
      </c>
      <c r="B27" s="7" t="s">
        <v>31</v>
      </c>
      <c r="C27" s="15">
        <v>45752</v>
      </c>
      <c r="D27" s="7" t="s">
        <v>57</v>
      </c>
      <c r="E27" s="7" t="s">
        <v>65</v>
      </c>
      <c r="F27" s="8">
        <v>3009</v>
      </c>
      <c r="G27" s="8">
        <v>413</v>
      </c>
      <c r="H27" s="8">
        <v>358</v>
      </c>
      <c r="I27" s="8">
        <v>42126</v>
      </c>
      <c r="J27" s="8">
        <v>41309</v>
      </c>
      <c r="K27" s="8">
        <v>211</v>
      </c>
      <c r="L27" s="16" t="s">
        <v>85</v>
      </c>
      <c r="M27" s="7" t="s">
        <v>11</v>
      </c>
    </row>
    <row r="28" spans="1:13" ht="72.55" thickBot="1" x14ac:dyDescent="0.35">
      <c r="A28" s="7" t="s">
        <v>110</v>
      </c>
      <c r="B28" s="7" t="s">
        <v>31</v>
      </c>
      <c r="C28" s="15">
        <v>45552</v>
      </c>
      <c r="D28" s="7" t="s">
        <v>61</v>
      </c>
      <c r="E28" s="7" t="s">
        <v>111</v>
      </c>
      <c r="F28" s="8">
        <v>2076</v>
      </c>
      <c r="G28" s="8">
        <v>195</v>
      </c>
      <c r="H28" s="8">
        <v>104</v>
      </c>
      <c r="I28" s="8">
        <v>33216</v>
      </c>
      <c r="J28" s="8">
        <v>32244</v>
      </c>
      <c r="K28" s="8">
        <v>51</v>
      </c>
      <c r="L28" s="16" t="s">
        <v>85</v>
      </c>
      <c r="M28" s="7" t="s">
        <v>19</v>
      </c>
    </row>
    <row r="29" spans="1:13" ht="86.95" thickBot="1" x14ac:dyDescent="0.35">
      <c r="A29" s="7" t="s">
        <v>112</v>
      </c>
      <c r="B29" s="7" t="s">
        <v>29</v>
      </c>
      <c r="C29" s="15">
        <v>45720</v>
      </c>
      <c r="D29" s="7" t="s">
        <v>93</v>
      </c>
      <c r="E29" s="7" t="s">
        <v>100</v>
      </c>
      <c r="F29" s="8">
        <v>432</v>
      </c>
      <c r="G29" s="8">
        <v>624</v>
      </c>
      <c r="H29" s="8">
        <v>123</v>
      </c>
      <c r="I29" s="8">
        <v>6912</v>
      </c>
      <c r="J29" s="8">
        <v>6259</v>
      </c>
      <c r="K29" s="8">
        <v>79</v>
      </c>
      <c r="L29" s="16" t="s">
        <v>85</v>
      </c>
      <c r="M29" s="7" t="s">
        <v>19</v>
      </c>
    </row>
    <row r="30" spans="1:13" ht="101.35" thickBot="1" x14ac:dyDescent="0.35">
      <c r="A30" s="7" t="s">
        <v>113</v>
      </c>
      <c r="B30" s="7" t="s">
        <v>29</v>
      </c>
      <c r="C30" s="15">
        <v>45688</v>
      </c>
      <c r="D30" s="7" t="s">
        <v>73</v>
      </c>
      <c r="E30" s="7" t="s">
        <v>102</v>
      </c>
      <c r="F30" s="8">
        <v>2566</v>
      </c>
      <c r="G30" s="8">
        <v>118</v>
      </c>
      <c r="H30" s="8">
        <v>37</v>
      </c>
      <c r="I30" s="8">
        <v>12830</v>
      </c>
      <c r="J30" s="8">
        <v>12264</v>
      </c>
      <c r="K30" s="8">
        <v>221</v>
      </c>
      <c r="L30" s="16" t="s">
        <v>85</v>
      </c>
      <c r="M30" s="7" t="s">
        <v>15</v>
      </c>
    </row>
    <row r="31" spans="1:13" ht="86.95" thickBot="1" x14ac:dyDescent="0.35">
      <c r="A31" s="7" t="s">
        <v>114</v>
      </c>
      <c r="B31" s="7" t="s">
        <v>29</v>
      </c>
      <c r="C31" s="15">
        <v>45713</v>
      </c>
      <c r="D31" s="7" t="s">
        <v>93</v>
      </c>
      <c r="E31" s="7" t="s">
        <v>100</v>
      </c>
      <c r="F31" s="8">
        <v>3095</v>
      </c>
      <c r="G31" s="8">
        <v>39</v>
      </c>
      <c r="H31" s="8">
        <v>78</v>
      </c>
      <c r="I31" s="8">
        <v>55710</v>
      </c>
      <c r="J31" s="8">
        <v>54808</v>
      </c>
      <c r="K31" s="8">
        <v>93</v>
      </c>
      <c r="L31" s="16" t="s">
        <v>70</v>
      </c>
      <c r="M31" s="7"/>
    </row>
    <row r="32" spans="1:13" ht="86.95" thickBot="1" x14ac:dyDescent="0.35">
      <c r="A32" s="7" t="s">
        <v>115</v>
      </c>
      <c r="B32" s="7" t="s">
        <v>29</v>
      </c>
      <c r="C32" s="15">
        <v>45642</v>
      </c>
      <c r="D32" s="7" t="s">
        <v>61</v>
      </c>
      <c r="E32" s="7" t="s">
        <v>116</v>
      </c>
      <c r="F32" s="8">
        <v>438</v>
      </c>
      <c r="G32" s="8">
        <v>153</v>
      </c>
      <c r="H32" s="8">
        <v>275</v>
      </c>
      <c r="I32" s="8">
        <v>3066</v>
      </c>
      <c r="J32" s="8">
        <v>2701</v>
      </c>
      <c r="K32" s="8">
        <v>282</v>
      </c>
      <c r="L32" s="16" t="s">
        <v>66</v>
      </c>
      <c r="M32" s="7" t="s">
        <v>11</v>
      </c>
    </row>
    <row r="33" spans="1:13" ht="86.95" thickBot="1" x14ac:dyDescent="0.35">
      <c r="A33" s="7" t="s">
        <v>117</v>
      </c>
      <c r="B33" s="7" t="s">
        <v>32</v>
      </c>
      <c r="C33" s="15">
        <v>45504</v>
      </c>
      <c r="D33" s="7" t="s">
        <v>73</v>
      </c>
      <c r="E33" s="7" t="s">
        <v>76</v>
      </c>
      <c r="F33" s="8">
        <v>2278</v>
      </c>
      <c r="G33" s="8">
        <v>10</v>
      </c>
      <c r="H33" s="8">
        <v>321</v>
      </c>
      <c r="I33" s="8">
        <v>13668</v>
      </c>
      <c r="J33" s="8">
        <v>12676</v>
      </c>
      <c r="K33" s="8">
        <v>275</v>
      </c>
      <c r="L33" s="16" t="s">
        <v>70</v>
      </c>
      <c r="M33" s="7" t="s">
        <v>7</v>
      </c>
    </row>
    <row r="34" spans="1:13" ht="86.95" thickBot="1" x14ac:dyDescent="0.35">
      <c r="A34" s="7" t="s">
        <v>118</v>
      </c>
      <c r="B34" s="7" t="s">
        <v>30</v>
      </c>
      <c r="C34" s="15">
        <v>45525</v>
      </c>
      <c r="D34" s="7" t="s">
        <v>78</v>
      </c>
      <c r="E34" s="7" t="s">
        <v>83</v>
      </c>
      <c r="F34" s="8">
        <v>1407</v>
      </c>
      <c r="G34" s="8">
        <v>400</v>
      </c>
      <c r="H34" s="8">
        <v>351</v>
      </c>
      <c r="I34" s="8">
        <v>16884</v>
      </c>
      <c r="J34" s="8">
        <v>15954</v>
      </c>
      <c r="K34" s="8">
        <v>113</v>
      </c>
      <c r="L34" s="16" t="s">
        <v>66</v>
      </c>
      <c r="M34" s="7" t="s">
        <v>7</v>
      </c>
    </row>
    <row r="35" spans="1:13" ht="86.95" thickBot="1" x14ac:dyDescent="0.35">
      <c r="A35" s="7" t="s">
        <v>119</v>
      </c>
      <c r="B35" s="7" t="s">
        <v>30</v>
      </c>
      <c r="C35" s="15">
        <v>45742</v>
      </c>
      <c r="D35" s="7" t="s">
        <v>61</v>
      </c>
      <c r="E35" s="7" t="s">
        <v>81</v>
      </c>
      <c r="F35" s="8">
        <v>1652</v>
      </c>
      <c r="G35" s="8">
        <v>89</v>
      </c>
      <c r="H35" s="8">
        <v>357</v>
      </c>
      <c r="I35" s="8">
        <v>29736</v>
      </c>
      <c r="J35" s="8">
        <v>28771</v>
      </c>
      <c r="K35" s="8">
        <v>215</v>
      </c>
      <c r="L35" s="16" t="s">
        <v>66</v>
      </c>
      <c r="M35" s="7" t="s">
        <v>15</v>
      </c>
    </row>
    <row r="36" spans="1:13" ht="86.95" thickBot="1" x14ac:dyDescent="0.35">
      <c r="A36" s="7" t="s">
        <v>120</v>
      </c>
      <c r="B36" s="7" t="s">
        <v>29</v>
      </c>
      <c r="C36" s="15">
        <v>45626</v>
      </c>
      <c r="D36" s="7" t="s">
        <v>93</v>
      </c>
      <c r="E36" s="7" t="s">
        <v>100</v>
      </c>
      <c r="F36" s="8">
        <v>3775</v>
      </c>
      <c r="G36" s="8">
        <v>16</v>
      </c>
      <c r="H36" s="8">
        <v>239</v>
      </c>
      <c r="I36" s="8">
        <v>33975</v>
      </c>
      <c r="J36" s="8">
        <v>33310</v>
      </c>
      <c r="K36" s="8">
        <v>271</v>
      </c>
      <c r="L36" s="16" t="s">
        <v>85</v>
      </c>
      <c r="M36" s="7" t="s">
        <v>11</v>
      </c>
    </row>
    <row r="37" spans="1:13" ht="86.95" thickBot="1" x14ac:dyDescent="0.35">
      <c r="A37" s="7" t="s">
        <v>121</v>
      </c>
      <c r="B37" s="7" t="s">
        <v>29</v>
      </c>
      <c r="C37" s="15">
        <v>45766</v>
      </c>
      <c r="D37" s="7" t="s">
        <v>68</v>
      </c>
      <c r="E37" s="7" t="s">
        <v>69</v>
      </c>
      <c r="F37" s="8">
        <v>4518</v>
      </c>
      <c r="G37" s="8">
        <v>285</v>
      </c>
      <c r="H37" s="8">
        <v>383</v>
      </c>
      <c r="I37" s="8">
        <v>67770</v>
      </c>
      <c r="J37" s="8">
        <v>67621</v>
      </c>
      <c r="K37" s="8">
        <v>31</v>
      </c>
      <c r="L37" s="16" t="s">
        <v>70</v>
      </c>
      <c r="M37" s="7" t="s">
        <v>11</v>
      </c>
    </row>
    <row r="38" spans="1:13" ht="101.35" thickBot="1" x14ac:dyDescent="0.35">
      <c r="A38" s="7" t="s">
        <v>122</v>
      </c>
      <c r="B38" s="7" t="s">
        <v>30</v>
      </c>
      <c r="C38" s="15">
        <v>45663</v>
      </c>
      <c r="D38" s="7" t="s">
        <v>73</v>
      </c>
      <c r="E38" s="7" t="s">
        <v>74</v>
      </c>
      <c r="F38" s="8">
        <v>3024</v>
      </c>
      <c r="G38" s="8">
        <v>925</v>
      </c>
      <c r="H38" s="8">
        <v>350</v>
      </c>
      <c r="I38" s="8">
        <v>24192</v>
      </c>
      <c r="J38" s="8">
        <v>23518</v>
      </c>
      <c r="K38" s="8">
        <v>36</v>
      </c>
      <c r="L38" s="16" t="s">
        <v>70</v>
      </c>
      <c r="M38" s="7" t="s">
        <v>11</v>
      </c>
    </row>
    <row r="39" spans="1:13" ht="72.55" thickBot="1" x14ac:dyDescent="0.35">
      <c r="A39" s="7" t="s">
        <v>123</v>
      </c>
      <c r="B39" s="7" t="s">
        <v>31</v>
      </c>
      <c r="C39" s="15">
        <v>45705</v>
      </c>
      <c r="D39" s="7" t="s">
        <v>57</v>
      </c>
      <c r="E39" s="7" t="s">
        <v>65</v>
      </c>
      <c r="F39" s="8">
        <v>3138</v>
      </c>
      <c r="G39" s="8">
        <v>123</v>
      </c>
      <c r="H39" s="8">
        <v>291</v>
      </c>
      <c r="I39" s="8">
        <v>28242</v>
      </c>
      <c r="J39" s="8">
        <v>27550</v>
      </c>
      <c r="K39" s="8">
        <v>87</v>
      </c>
      <c r="L39" s="16" t="s">
        <v>66</v>
      </c>
      <c r="M39" s="7" t="s">
        <v>19</v>
      </c>
    </row>
    <row r="40" spans="1:13" ht="86.95" thickBot="1" x14ac:dyDescent="0.35">
      <c r="A40" s="7" t="s">
        <v>124</v>
      </c>
      <c r="B40" s="7" t="s">
        <v>30</v>
      </c>
      <c r="C40" s="15">
        <v>45621</v>
      </c>
      <c r="D40" s="7" t="s">
        <v>78</v>
      </c>
      <c r="E40" s="7" t="s">
        <v>83</v>
      </c>
      <c r="F40" s="8">
        <v>3564</v>
      </c>
      <c r="G40" s="8">
        <v>629</v>
      </c>
      <c r="H40" s="8">
        <v>177</v>
      </c>
      <c r="I40" s="8">
        <v>60588</v>
      </c>
      <c r="J40" s="8">
        <v>59627</v>
      </c>
      <c r="K40" s="8">
        <v>92</v>
      </c>
      <c r="L40" s="16" t="s">
        <v>66</v>
      </c>
      <c r="M40" s="7"/>
    </row>
    <row r="41" spans="1:13" ht="72.55" thickBot="1" x14ac:dyDescent="0.35">
      <c r="A41" s="7" t="s">
        <v>125</v>
      </c>
      <c r="B41" s="7" t="s">
        <v>32</v>
      </c>
      <c r="C41" s="15">
        <v>45723</v>
      </c>
      <c r="D41" s="7" t="s">
        <v>78</v>
      </c>
      <c r="E41" s="7" t="s">
        <v>126</v>
      </c>
      <c r="F41" s="8">
        <v>4750</v>
      </c>
      <c r="G41" s="8">
        <v>151</v>
      </c>
      <c r="H41" s="8">
        <v>415</v>
      </c>
      <c r="I41" s="8">
        <v>38000</v>
      </c>
      <c r="J41" s="8">
        <v>37792</v>
      </c>
      <c r="K41" s="8">
        <v>299</v>
      </c>
      <c r="L41" s="16" t="s">
        <v>70</v>
      </c>
      <c r="M41" s="7" t="s">
        <v>19</v>
      </c>
    </row>
    <row r="42" spans="1:13" ht="86.95" thickBot="1" x14ac:dyDescent="0.35">
      <c r="A42" s="7" t="s">
        <v>127</v>
      </c>
      <c r="B42" s="7" t="s">
        <v>29</v>
      </c>
      <c r="C42" s="15">
        <v>45724</v>
      </c>
      <c r="D42" s="7" t="s">
        <v>57</v>
      </c>
      <c r="E42" s="7" t="s">
        <v>98</v>
      </c>
      <c r="F42" s="8">
        <v>456</v>
      </c>
      <c r="G42" s="8">
        <v>629</v>
      </c>
      <c r="H42" s="8">
        <v>428</v>
      </c>
      <c r="I42" s="8">
        <v>8208</v>
      </c>
      <c r="J42" s="8">
        <v>7377</v>
      </c>
      <c r="K42" s="8">
        <v>205</v>
      </c>
      <c r="L42" s="16" t="s">
        <v>85</v>
      </c>
      <c r="M42" s="7" t="s">
        <v>19</v>
      </c>
    </row>
    <row r="43" spans="1:13" ht="72.55" thickBot="1" x14ac:dyDescent="0.35">
      <c r="A43" s="7" t="s">
        <v>128</v>
      </c>
      <c r="B43" s="7" t="s">
        <v>31</v>
      </c>
      <c r="C43" s="15">
        <v>45721</v>
      </c>
      <c r="D43" s="7" t="s">
        <v>57</v>
      </c>
      <c r="E43" s="7" t="s">
        <v>65</v>
      </c>
      <c r="F43" s="8">
        <v>1543</v>
      </c>
      <c r="G43" s="8">
        <v>820</v>
      </c>
      <c r="H43" s="8">
        <v>333</v>
      </c>
      <c r="I43" s="8">
        <v>12344</v>
      </c>
      <c r="J43" s="8">
        <v>11496</v>
      </c>
      <c r="K43" s="8">
        <v>241</v>
      </c>
      <c r="L43" s="16" t="s">
        <v>70</v>
      </c>
      <c r="M43" s="7"/>
    </row>
    <row r="44" spans="1:13" ht="101.35" thickBot="1" x14ac:dyDescent="0.35">
      <c r="A44" s="7" t="s">
        <v>129</v>
      </c>
      <c r="B44" s="7" t="s">
        <v>29</v>
      </c>
      <c r="C44" s="15">
        <v>45640</v>
      </c>
      <c r="D44" s="7" t="s">
        <v>73</v>
      </c>
      <c r="E44" s="7" t="s">
        <v>102</v>
      </c>
      <c r="F44" s="8">
        <v>2174</v>
      </c>
      <c r="G44" s="8">
        <v>658</v>
      </c>
      <c r="H44" s="8">
        <v>15</v>
      </c>
      <c r="I44" s="8">
        <v>13044</v>
      </c>
      <c r="J44" s="8">
        <v>12206</v>
      </c>
      <c r="K44" s="8">
        <v>137</v>
      </c>
      <c r="L44" s="16" t="s">
        <v>66</v>
      </c>
      <c r="M44" s="7" t="s">
        <v>15</v>
      </c>
    </row>
    <row r="45" spans="1:13" ht="72.55" thickBot="1" x14ac:dyDescent="0.35">
      <c r="A45" s="7" t="s">
        <v>130</v>
      </c>
      <c r="B45" s="7" t="s">
        <v>32</v>
      </c>
      <c r="C45" s="15">
        <v>45718</v>
      </c>
      <c r="D45" s="7" t="s">
        <v>78</v>
      </c>
      <c r="E45" s="7" t="s">
        <v>126</v>
      </c>
      <c r="F45" s="8">
        <v>2358</v>
      </c>
      <c r="G45" s="8">
        <v>784</v>
      </c>
      <c r="H45" s="8">
        <v>344</v>
      </c>
      <c r="I45" s="8">
        <v>35370</v>
      </c>
      <c r="J45" s="8">
        <v>34475</v>
      </c>
      <c r="K45" s="8">
        <v>216</v>
      </c>
      <c r="L45" s="16" t="s">
        <v>66</v>
      </c>
      <c r="M45" s="7"/>
    </row>
    <row r="46" spans="1:13" ht="86.95" thickBot="1" x14ac:dyDescent="0.35">
      <c r="A46" s="7" t="s">
        <v>131</v>
      </c>
      <c r="B46" s="7" t="s">
        <v>30</v>
      </c>
      <c r="C46" s="15">
        <v>45597</v>
      </c>
      <c r="D46" s="7" t="s">
        <v>93</v>
      </c>
      <c r="E46" s="7" t="s">
        <v>94</v>
      </c>
      <c r="F46" s="8">
        <v>3371</v>
      </c>
      <c r="G46" s="8">
        <v>106</v>
      </c>
      <c r="H46" s="8">
        <v>327</v>
      </c>
      <c r="I46" s="8">
        <v>50565</v>
      </c>
      <c r="J46" s="8">
        <v>49816</v>
      </c>
      <c r="K46" s="8">
        <v>176</v>
      </c>
      <c r="L46" s="16" t="s">
        <v>85</v>
      </c>
      <c r="M46" s="7" t="s">
        <v>7</v>
      </c>
    </row>
    <row r="47" spans="1:13" ht="72.55" thickBot="1" x14ac:dyDescent="0.35">
      <c r="A47" s="7" t="s">
        <v>132</v>
      </c>
      <c r="B47" s="7" t="s">
        <v>32</v>
      </c>
      <c r="C47" s="15">
        <v>45779</v>
      </c>
      <c r="D47" s="7" t="s">
        <v>93</v>
      </c>
      <c r="E47" s="7" t="s">
        <v>133</v>
      </c>
      <c r="F47" s="8">
        <v>1108</v>
      </c>
      <c r="G47" s="8">
        <v>177</v>
      </c>
      <c r="H47" s="8">
        <v>212</v>
      </c>
      <c r="I47" s="8">
        <v>8864</v>
      </c>
      <c r="J47" s="8">
        <v>8710</v>
      </c>
      <c r="K47" s="8">
        <v>97</v>
      </c>
      <c r="L47" s="16" t="s">
        <v>66</v>
      </c>
      <c r="M47" s="7" t="s">
        <v>19</v>
      </c>
    </row>
    <row r="48" spans="1:13" ht="86.95" thickBot="1" x14ac:dyDescent="0.35">
      <c r="A48" s="7" t="s">
        <v>134</v>
      </c>
      <c r="B48" s="7" t="s">
        <v>32</v>
      </c>
      <c r="C48" s="15">
        <v>45712</v>
      </c>
      <c r="D48" s="7" t="s">
        <v>73</v>
      </c>
      <c r="E48" s="7" t="s">
        <v>76</v>
      </c>
      <c r="F48" s="8">
        <v>2704</v>
      </c>
      <c r="G48" s="8">
        <v>752</v>
      </c>
      <c r="H48" s="8">
        <v>153</v>
      </c>
      <c r="I48" s="8">
        <v>21632</v>
      </c>
      <c r="J48" s="8">
        <v>20792</v>
      </c>
      <c r="K48" s="8">
        <v>127</v>
      </c>
      <c r="L48" s="16" t="s">
        <v>85</v>
      </c>
      <c r="M48" s="7"/>
    </row>
    <row r="49" spans="1:13" ht="72.55" thickBot="1" x14ac:dyDescent="0.35">
      <c r="A49" s="7" t="s">
        <v>135</v>
      </c>
      <c r="B49" s="7" t="s">
        <v>32</v>
      </c>
      <c r="C49" s="15">
        <v>45727</v>
      </c>
      <c r="D49" s="7" t="s">
        <v>68</v>
      </c>
      <c r="E49" s="7" t="s">
        <v>136</v>
      </c>
      <c r="F49" s="8">
        <v>1950</v>
      </c>
      <c r="G49" s="8">
        <v>295</v>
      </c>
      <c r="H49" s="8">
        <v>478</v>
      </c>
      <c r="I49" s="8">
        <v>37050</v>
      </c>
      <c r="J49" s="8">
        <v>36272</v>
      </c>
      <c r="K49" s="8">
        <v>119</v>
      </c>
      <c r="L49" s="16" t="s">
        <v>66</v>
      </c>
      <c r="M49" s="7"/>
    </row>
    <row r="50" spans="1:13" ht="72.55" thickBot="1" x14ac:dyDescent="0.35">
      <c r="A50" s="7" t="s">
        <v>137</v>
      </c>
      <c r="B50" s="7" t="s">
        <v>32</v>
      </c>
      <c r="C50" s="15">
        <v>45453</v>
      </c>
      <c r="D50" s="7" t="s">
        <v>68</v>
      </c>
      <c r="E50" s="7" t="s">
        <v>136</v>
      </c>
      <c r="F50" s="8">
        <v>2164</v>
      </c>
      <c r="G50" s="8">
        <v>549</v>
      </c>
      <c r="H50" s="8">
        <v>274</v>
      </c>
      <c r="I50" s="8">
        <v>28132</v>
      </c>
      <c r="J50" s="8">
        <v>27361</v>
      </c>
      <c r="K50" s="8">
        <v>177</v>
      </c>
      <c r="L50" s="16" t="s">
        <v>66</v>
      </c>
      <c r="M50" s="7" t="s">
        <v>19</v>
      </c>
    </row>
    <row r="51" spans="1:13" ht="72.55" thickBot="1" x14ac:dyDescent="0.35">
      <c r="A51" s="7" t="s">
        <v>138</v>
      </c>
      <c r="B51" s="7" t="s">
        <v>31</v>
      </c>
      <c r="C51" s="15">
        <v>45476</v>
      </c>
      <c r="D51" s="7" t="s">
        <v>68</v>
      </c>
      <c r="E51" s="7" t="s">
        <v>139</v>
      </c>
      <c r="F51" s="8">
        <v>2754</v>
      </c>
      <c r="G51" s="8">
        <v>130</v>
      </c>
      <c r="H51" s="8">
        <v>90</v>
      </c>
      <c r="I51" s="8">
        <v>22032</v>
      </c>
      <c r="J51" s="8">
        <v>21288</v>
      </c>
      <c r="K51" s="8">
        <v>112</v>
      </c>
      <c r="L51" s="16" t="s">
        <v>66</v>
      </c>
      <c r="M51" s="7" t="s">
        <v>15</v>
      </c>
    </row>
    <row r="52" spans="1:13" ht="101.35" thickBot="1" x14ac:dyDescent="0.35">
      <c r="A52" s="7" t="s">
        <v>140</v>
      </c>
      <c r="B52" s="7" t="s">
        <v>30</v>
      </c>
      <c r="C52" s="15">
        <v>45456</v>
      </c>
      <c r="D52" s="7" t="s">
        <v>73</v>
      </c>
      <c r="E52" s="7" t="s">
        <v>74</v>
      </c>
      <c r="F52" s="8">
        <v>2200</v>
      </c>
      <c r="G52" s="8">
        <v>504</v>
      </c>
      <c r="H52" s="8">
        <v>239</v>
      </c>
      <c r="I52" s="8">
        <v>37400</v>
      </c>
      <c r="J52" s="8">
        <v>36938</v>
      </c>
      <c r="K52" s="8">
        <v>225</v>
      </c>
      <c r="L52" s="16" t="s">
        <v>85</v>
      </c>
      <c r="M52" s="7" t="s">
        <v>11</v>
      </c>
    </row>
    <row r="53" spans="1:13" ht="86.95" thickBot="1" x14ac:dyDescent="0.35">
      <c r="A53" s="7" t="s">
        <v>141</v>
      </c>
      <c r="B53" s="7" t="s">
        <v>30</v>
      </c>
      <c r="C53" s="15">
        <v>45660</v>
      </c>
      <c r="D53" s="7" t="s">
        <v>78</v>
      </c>
      <c r="E53" s="7" t="s">
        <v>83</v>
      </c>
      <c r="F53" s="8">
        <v>947</v>
      </c>
      <c r="G53" s="8">
        <v>338</v>
      </c>
      <c r="H53" s="8">
        <v>350</v>
      </c>
      <c r="I53" s="8">
        <v>10417</v>
      </c>
      <c r="J53" s="8">
        <v>9730</v>
      </c>
      <c r="K53" s="8">
        <v>34</v>
      </c>
      <c r="L53" s="16" t="s">
        <v>66</v>
      </c>
      <c r="M53" s="7" t="s">
        <v>19</v>
      </c>
    </row>
    <row r="54" spans="1:13" ht="86.95" thickBot="1" x14ac:dyDescent="0.35">
      <c r="A54" s="7" t="s">
        <v>142</v>
      </c>
      <c r="B54" s="7" t="s">
        <v>31</v>
      </c>
      <c r="C54" s="15">
        <v>45712</v>
      </c>
      <c r="D54" s="7" t="s">
        <v>73</v>
      </c>
      <c r="E54" s="7" t="s">
        <v>89</v>
      </c>
      <c r="F54" s="8">
        <v>804</v>
      </c>
      <c r="G54" s="8">
        <v>639</v>
      </c>
      <c r="H54" s="8">
        <v>43</v>
      </c>
      <c r="I54" s="8">
        <v>4020</v>
      </c>
      <c r="J54" s="8">
        <v>3144</v>
      </c>
      <c r="K54" s="8">
        <v>11</v>
      </c>
      <c r="L54" s="17" t="s">
        <v>143</v>
      </c>
      <c r="M54" s="7"/>
    </row>
    <row r="55" spans="1:13" ht="86.95" thickBot="1" x14ac:dyDescent="0.35">
      <c r="A55" s="7" t="s">
        <v>144</v>
      </c>
      <c r="B55" s="7" t="s">
        <v>31</v>
      </c>
      <c r="C55" s="15">
        <v>45729</v>
      </c>
      <c r="D55" s="7" t="s">
        <v>73</v>
      </c>
      <c r="E55" s="7" t="s">
        <v>89</v>
      </c>
      <c r="F55" s="8">
        <v>1686</v>
      </c>
      <c r="G55" s="8">
        <v>904</v>
      </c>
      <c r="H55" s="8">
        <v>472</v>
      </c>
      <c r="I55" s="8">
        <v>18546</v>
      </c>
      <c r="J55" s="8">
        <v>18171</v>
      </c>
      <c r="K55" s="8">
        <v>52</v>
      </c>
      <c r="L55" s="16" t="s">
        <v>85</v>
      </c>
      <c r="M55" s="7" t="s">
        <v>11</v>
      </c>
    </row>
    <row r="56" spans="1:13" ht="86.95" thickBot="1" x14ac:dyDescent="0.35">
      <c r="A56" s="7" t="s">
        <v>145</v>
      </c>
      <c r="B56" s="7" t="s">
        <v>30</v>
      </c>
      <c r="C56" s="15">
        <v>45460</v>
      </c>
      <c r="D56" s="7" t="s">
        <v>78</v>
      </c>
      <c r="E56" s="7" t="s">
        <v>83</v>
      </c>
      <c r="F56" s="8">
        <v>1226</v>
      </c>
      <c r="G56" s="8">
        <v>119</v>
      </c>
      <c r="H56" s="8">
        <v>7</v>
      </c>
      <c r="I56" s="8">
        <v>14712</v>
      </c>
      <c r="J56" s="8">
        <v>14049</v>
      </c>
      <c r="K56" s="8">
        <v>123</v>
      </c>
      <c r="L56" s="16" t="s">
        <v>70</v>
      </c>
      <c r="M56" s="7" t="s">
        <v>19</v>
      </c>
    </row>
    <row r="57" spans="1:13" ht="101.35" thickBot="1" x14ac:dyDescent="0.35">
      <c r="A57" s="7" t="s">
        <v>146</v>
      </c>
      <c r="B57" s="7" t="s">
        <v>30</v>
      </c>
      <c r="C57" s="15">
        <v>45644</v>
      </c>
      <c r="D57" s="7" t="s">
        <v>73</v>
      </c>
      <c r="E57" s="7" t="s">
        <v>74</v>
      </c>
      <c r="F57" s="8">
        <v>2946</v>
      </c>
      <c r="G57" s="8">
        <v>498</v>
      </c>
      <c r="H57" s="8">
        <v>367</v>
      </c>
      <c r="I57" s="8">
        <v>29460</v>
      </c>
      <c r="J57" s="8">
        <v>28527</v>
      </c>
      <c r="K57" s="8">
        <v>60</v>
      </c>
      <c r="L57" s="16" t="s">
        <v>85</v>
      </c>
      <c r="M57" s="7" t="s">
        <v>15</v>
      </c>
    </row>
    <row r="58" spans="1:13" ht="72.55" thickBot="1" x14ac:dyDescent="0.35">
      <c r="A58" s="7" t="s">
        <v>147</v>
      </c>
      <c r="B58" s="7" t="s">
        <v>32</v>
      </c>
      <c r="C58" s="15">
        <v>45586</v>
      </c>
      <c r="D58" s="7" t="s">
        <v>93</v>
      </c>
      <c r="E58" s="7" t="s">
        <v>133</v>
      </c>
      <c r="F58" s="8">
        <v>2825</v>
      </c>
      <c r="G58" s="8">
        <v>535</v>
      </c>
      <c r="H58" s="8">
        <v>295</v>
      </c>
      <c r="I58" s="8">
        <v>45200</v>
      </c>
      <c r="J58" s="8">
        <v>44739</v>
      </c>
      <c r="K58" s="8">
        <v>169</v>
      </c>
      <c r="L58" s="16" t="s">
        <v>66</v>
      </c>
      <c r="M58" s="7" t="s">
        <v>7</v>
      </c>
    </row>
    <row r="59" spans="1:13" ht="86.95" thickBot="1" x14ac:dyDescent="0.35">
      <c r="A59" s="7" t="s">
        <v>148</v>
      </c>
      <c r="B59" s="7" t="s">
        <v>29</v>
      </c>
      <c r="C59" s="15">
        <v>45762</v>
      </c>
      <c r="D59" s="7" t="s">
        <v>57</v>
      </c>
      <c r="E59" s="7" t="s">
        <v>98</v>
      </c>
      <c r="F59" s="8">
        <v>103</v>
      </c>
      <c r="G59" s="8">
        <v>770</v>
      </c>
      <c r="H59" s="8">
        <v>19</v>
      </c>
      <c r="I59" s="8">
        <v>1030</v>
      </c>
      <c r="J59" s="8">
        <v>410</v>
      </c>
      <c r="K59" s="8">
        <v>262</v>
      </c>
      <c r="L59" s="16" t="s">
        <v>66</v>
      </c>
      <c r="M59" s="7" t="s">
        <v>19</v>
      </c>
    </row>
    <row r="60" spans="1:13" ht="86.95" thickBot="1" x14ac:dyDescent="0.35">
      <c r="A60" s="7" t="s">
        <v>149</v>
      </c>
      <c r="B60" s="7" t="s">
        <v>29</v>
      </c>
      <c r="C60" s="15">
        <v>45465</v>
      </c>
      <c r="D60" s="7" t="s">
        <v>61</v>
      </c>
      <c r="E60" s="7" t="s">
        <v>116</v>
      </c>
      <c r="F60" s="8">
        <v>2180</v>
      </c>
      <c r="G60" s="8">
        <v>263</v>
      </c>
      <c r="H60" s="8">
        <v>387</v>
      </c>
      <c r="I60" s="8">
        <v>30520</v>
      </c>
      <c r="J60" s="8">
        <v>30059</v>
      </c>
      <c r="K60" s="8">
        <v>174</v>
      </c>
      <c r="L60" s="16" t="s">
        <v>70</v>
      </c>
      <c r="M60" s="7"/>
    </row>
    <row r="61" spans="1:13" ht="97.75" thickBot="1" x14ac:dyDescent="0.35">
      <c r="A61" s="7" t="s">
        <v>150</v>
      </c>
      <c r="B61" s="7" t="s">
        <v>29</v>
      </c>
      <c r="C61" s="15">
        <v>45685</v>
      </c>
      <c r="D61" s="7" t="s">
        <v>93</v>
      </c>
      <c r="E61" s="7" t="s">
        <v>100</v>
      </c>
      <c r="F61" s="8">
        <v>904</v>
      </c>
      <c r="G61" s="8">
        <v>973</v>
      </c>
      <c r="H61" s="8">
        <v>63</v>
      </c>
      <c r="I61" s="8">
        <v>11752</v>
      </c>
      <c r="J61" s="8">
        <v>11580</v>
      </c>
      <c r="K61" s="8">
        <v>84</v>
      </c>
      <c r="L61" s="16" t="s">
        <v>151</v>
      </c>
      <c r="M61" s="7" t="s">
        <v>15</v>
      </c>
    </row>
    <row r="62" spans="1:13" ht="72.55" thickBot="1" x14ac:dyDescent="0.35">
      <c r="A62" s="7" t="s">
        <v>152</v>
      </c>
      <c r="B62" s="7" t="s">
        <v>32</v>
      </c>
      <c r="C62" s="15">
        <v>45540</v>
      </c>
      <c r="D62" s="7" t="s">
        <v>93</v>
      </c>
      <c r="E62" s="7" t="s">
        <v>133</v>
      </c>
      <c r="F62" s="8">
        <v>4886</v>
      </c>
      <c r="G62" s="8">
        <v>983</v>
      </c>
      <c r="H62" s="8">
        <v>409</v>
      </c>
      <c r="I62" s="8">
        <v>43974</v>
      </c>
      <c r="J62" s="8">
        <v>43239</v>
      </c>
      <c r="K62" s="8">
        <v>65</v>
      </c>
      <c r="L62" s="16" t="s">
        <v>66</v>
      </c>
      <c r="M62" s="7" t="s">
        <v>7</v>
      </c>
    </row>
    <row r="63" spans="1:13" ht="86.95" thickBot="1" x14ac:dyDescent="0.35">
      <c r="A63" s="7" t="s">
        <v>153</v>
      </c>
      <c r="B63" s="7" t="s">
        <v>32</v>
      </c>
      <c r="C63" s="15">
        <v>45618</v>
      </c>
      <c r="D63" s="7" t="s">
        <v>73</v>
      </c>
      <c r="E63" s="7" t="s">
        <v>76</v>
      </c>
      <c r="F63" s="8">
        <v>53</v>
      </c>
      <c r="G63" s="8">
        <v>81</v>
      </c>
      <c r="H63" s="8">
        <v>379</v>
      </c>
      <c r="I63" s="8">
        <v>954</v>
      </c>
      <c r="J63" s="8">
        <v>7</v>
      </c>
      <c r="K63" s="8">
        <v>148</v>
      </c>
      <c r="L63" s="16" t="s">
        <v>66</v>
      </c>
      <c r="M63" s="7" t="s">
        <v>15</v>
      </c>
    </row>
    <row r="64" spans="1:13" ht="86.95" thickBot="1" x14ac:dyDescent="0.35">
      <c r="A64" s="7" t="s">
        <v>154</v>
      </c>
      <c r="B64" s="7" t="s">
        <v>32</v>
      </c>
      <c r="C64" s="15">
        <v>45504</v>
      </c>
      <c r="D64" s="7" t="s">
        <v>73</v>
      </c>
      <c r="E64" s="7" t="s">
        <v>76</v>
      </c>
      <c r="F64" s="8">
        <v>4507</v>
      </c>
      <c r="G64" s="8">
        <v>217</v>
      </c>
      <c r="H64" s="8">
        <v>13</v>
      </c>
      <c r="I64" s="8">
        <v>90140</v>
      </c>
      <c r="J64" s="8">
        <v>89591</v>
      </c>
      <c r="K64" s="8">
        <v>125</v>
      </c>
      <c r="L64" s="16" t="s">
        <v>85</v>
      </c>
      <c r="M64" s="7" t="s">
        <v>15</v>
      </c>
    </row>
    <row r="65" spans="1:13" ht="86.95" thickBot="1" x14ac:dyDescent="0.35">
      <c r="A65" s="7" t="s">
        <v>155</v>
      </c>
      <c r="B65" s="7" t="s">
        <v>30</v>
      </c>
      <c r="C65" s="15">
        <v>45521</v>
      </c>
      <c r="D65" s="7" t="s">
        <v>78</v>
      </c>
      <c r="E65" s="7" t="s">
        <v>83</v>
      </c>
      <c r="F65" s="8">
        <v>2878</v>
      </c>
      <c r="G65" s="8">
        <v>248</v>
      </c>
      <c r="H65" s="8">
        <v>416</v>
      </c>
      <c r="I65" s="8">
        <v>43170</v>
      </c>
      <c r="J65" s="8">
        <v>42667</v>
      </c>
      <c r="K65" s="8">
        <v>75</v>
      </c>
      <c r="L65" s="16" t="s">
        <v>85</v>
      </c>
      <c r="M65" s="7" t="s">
        <v>15</v>
      </c>
    </row>
    <row r="66" spans="1:13" ht="86.95" thickBot="1" x14ac:dyDescent="0.35">
      <c r="A66" s="7" t="s">
        <v>156</v>
      </c>
      <c r="B66" s="7" t="s">
        <v>29</v>
      </c>
      <c r="C66" s="15">
        <v>45744</v>
      </c>
      <c r="D66" s="7" t="s">
        <v>68</v>
      </c>
      <c r="E66" s="7" t="s">
        <v>69</v>
      </c>
      <c r="F66" s="8">
        <v>1881</v>
      </c>
      <c r="G66" s="8">
        <v>501</v>
      </c>
      <c r="H66" s="8">
        <v>99</v>
      </c>
      <c r="I66" s="8">
        <v>20691</v>
      </c>
      <c r="J66" s="8">
        <v>19987</v>
      </c>
      <c r="K66" s="8">
        <v>289</v>
      </c>
      <c r="L66" s="16" t="s">
        <v>70</v>
      </c>
      <c r="M66" s="7"/>
    </row>
    <row r="67" spans="1:13" ht="86.95" thickBot="1" x14ac:dyDescent="0.35">
      <c r="A67" s="7" t="s">
        <v>157</v>
      </c>
      <c r="B67" s="7" t="s">
        <v>32</v>
      </c>
      <c r="C67" s="15">
        <v>45499</v>
      </c>
      <c r="D67" s="7" t="s">
        <v>73</v>
      </c>
      <c r="E67" s="7" t="s">
        <v>76</v>
      </c>
      <c r="F67" s="8">
        <v>432</v>
      </c>
      <c r="G67" s="8">
        <v>171</v>
      </c>
      <c r="H67" s="8">
        <v>280</v>
      </c>
      <c r="I67" s="8">
        <v>3024</v>
      </c>
      <c r="J67" s="8">
        <v>2285</v>
      </c>
      <c r="K67" s="8">
        <v>184</v>
      </c>
      <c r="L67" s="16" t="s">
        <v>70</v>
      </c>
      <c r="M67" s="7" t="s">
        <v>7</v>
      </c>
    </row>
    <row r="68" spans="1:13" ht="101.35" thickBot="1" x14ac:dyDescent="0.35">
      <c r="A68" s="7" t="s">
        <v>158</v>
      </c>
      <c r="B68" s="7" t="s">
        <v>30</v>
      </c>
      <c r="C68" s="15">
        <v>45745</v>
      </c>
      <c r="D68" s="7" t="s">
        <v>73</v>
      </c>
      <c r="E68" s="7" t="s">
        <v>74</v>
      </c>
      <c r="F68" s="8">
        <v>4712</v>
      </c>
      <c r="G68" s="8">
        <v>568</v>
      </c>
      <c r="H68" s="8">
        <v>127</v>
      </c>
      <c r="I68" s="8">
        <v>84816</v>
      </c>
      <c r="J68" s="8">
        <v>84691</v>
      </c>
      <c r="K68" s="8">
        <v>100</v>
      </c>
      <c r="L68" s="16" t="s">
        <v>70</v>
      </c>
      <c r="M68" s="7" t="s">
        <v>15</v>
      </c>
    </row>
    <row r="69" spans="1:13" ht="86.95" thickBot="1" x14ac:dyDescent="0.35">
      <c r="A69" s="7" t="s">
        <v>159</v>
      </c>
      <c r="B69" s="7" t="s">
        <v>29</v>
      </c>
      <c r="C69" s="15">
        <v>45634</v>
      </c>
      <c r="D69" s="7" t="s">
        <v>68</v>
      </c>
      <c r="E69" s="7" t="s">
        <v>69</v>
      </c>
      <c r="F69" s="8">
        <v>2610</v>
      </c>
      <c r="G69" s="8">
        <v>126</v>
      </c>
      <c r="H69" s="8">
        <v>288</v>
      </c>
      <c r="I69" s="8">
        <v>15660</v>
      </c>
      <c r="J69" s="8">
        <v>15145</v>
      </c>
      <c r="K69" s="8">
        <v>73</v>
      </c>
      <c r="L69" s="16" t="s">
        <v>70</v>
      </c>
      <c r="M69" s="7"/>
    </row>
    <row r="70" spans="1:13" ht="72.55" thickBot="1" x14ac:dyDescent="0.35">
      <c r="A70" s="7" t="s">
        <v>160</v>
      </c>
      <c r="B70" s="7" t="s">
        <v>32</v>
      </c>
      <c r="C70" s="15">
        <v>45724</v>
      </c>
      <c r="D70" s="7" t="s">
        <v>61</v>
      </c>
      <c r="E70" s="7" t="s">
        <v>62</v>
      </c>
      <c r="F70" s="8">
        <v>1292</v>
      </c>
      <c r="G70" s="8">
        <v>626</v>
      </c>
      <c r="H70" s="8">
        <v>496</v>
      </c>
      <c r="I70" s="8">
        <v>25840</v>
      </c>
      <c r="J70" s="8">
        <v>24916</v>
      </c>
      <c r="K70" s="8">
        <v>149</v>
      </c>
      <c r="L70" s="16" t="s">
        <v>85</v>
      </c>
      <c r="M70" s="7" t="s">
        <v>15</v>
      </c>
    </row>
    <row r="71" spans="1:13" ht="86.95" thickBot="1" x14ac:dyDescent="0.35">
      <c r="A71" s="7" t="s">
        <v>161</v>
      </c>
      <c r="B71" s="7" t="s">
        <v>30</v>
      </c>
      <c r="C71" s="15">
        <v>45749</v>
      </c>
      <c r="D71" s="7" t="s">
        <v>93</v>
      </c>
      <c r="E71" s="7" t="s">
        <v>94</v>
      </c>
      <c r="F71" s="8">
        <v>199</v>
      </c>
      <c r="G71" s="8">
        <v>772</v>
      </c>
      <c r="H71" s="8">
        <v>400</v>
      </c>
      <c r="I71" s="8">
        <v>3582</v>
      </c>
      <c r="J71" s="8">
        <v>2988</v>
      </c>
      <c r="K71" s="8">
        <v>43</v>
      </c>
      <c r="L71" s="16" t="s">
        <v>66</v>
      </c>
      <c r="M71" s="7"/>
    </row>
    <row r="72" spans="1:13" ht="86.95" thickBot="1" x14ac:dyDescent="0.35">
      <c r="A72" s="7" t="s">
        <v>162</v>
      </c>
      <c r="B72" s="7" t="s">
        <v>31</v>
      </c>
      <c r="C72" s="15">
        <v>45537</v>
      </c>
      <c r="D72" s="7" t="s">
        <v>73</v>
      </c>
      <c r="E72" s="7" t="s">
        <v>89</v>
      </c>
      <c r="F72" s="8">
        <v>2551</v>
      </c>
      <c r="G72" s="8">
        <v>915</v>
      </c>
      <c r="H72" s="8">
        <v>205</v>
      </c>
      <c r="I72" s="8">
        <v>30612</v>
      </c>
      <c r="J72" s="8">
        <v>30360</v>
      </c>
      <c r="K72" s="8">
        <v>227</v>
      </c>
      <c r="L72" s="16" t="s">
        <v>66</v>
      </c>
      <c r="M72" s="7" t="s">
        <v>11</v>
      </c>
    </row>
    <row r="73" spans="1:13" ht="72.55" thickBot="1" x14ac:dyDescent="0.35">
      <c r="A73" s="7" t="s">
        <v>163</v>
      </c>
      <c r="B73" s="7" t="s">
        <v>31</v>
      </c>
      <c r="C73" s="15">
        <v>45719</v>
      </c>
      <c r="D73" s="7" t="s">
        <v>57</v>
      </c>
      <c r="E73" s="7" t="s">
        <v>65</v>
      </c>
      <c r="F73" s="8">
        <v>296</v>
      </c>
      <c r="G73" s="8">
        <v>60</v>
      </c>
      <c r="H73" s="8">
        <v>141</v>
      </c>
      <c r="I73" s="8">
        <v>5624</v>
      </c>
      <c r="J73" s="8">
        <v>5239</v>
      </c>
      <c r="K73" s="8">
        <v>88</v>
      </c>
      <c r="L73" s="16" t="s">
        <v>70</v>
      </c>
      <c r="M73" s="7" t="s">
        <v>11</v>
      </c>
    </row>
    <row r="74" spans="1:13" ht="86.95" thickBot="1" x14ac:dyDescent="0.35">
      <c r="A74" s="7" t="s">
        <v>164</v>
      </c>
      <c r="B74" s="7" t="s">
        <v>30</v>
      </c>
      <c r="C74" s="15">
        <v>45583</v>
      </c>
      <c r="D74" s="7" t="s">
        <v>68</v>
      </c>
      <c r="E74" s="7" t="s">
        <v>91</v>
      </c>
      <c r="F74" s="8">
        <v>4126</v>
      </c>
      <c r="G74" s="8">
        <v>426</v>
      </c>
      <c r="H74" s="8">
        <v>486</v>
      </c>
      <c r="I74" s="8">
        <v>78394</v>
      </c>
      <c r="J74" s="8">
        <v>77798</v>
      </c>
      <c r="K74" s="8">
        <v>88</v>
      </c>
      <c r="L74" s="16" t="s">
        <v>85</v>
      </c>
      <c r="M74" s="7" t="s">
        <v>19</v>
      </c>
    </row>
    <row r="75" spans="1:13" ht="72.55" thickBot="1" x14ac:dyDescent="0.35">
      <c r="A75" s="7" t="s">
        <v>165</v>
      </c>
      <c r="B75" s="7" t="s">
        <v>31</v>
      </c>
      <c r="C75" s="15">
        <v>45593</v>
      </c>
      <c r="D75" s="7" t="s">
        <v>57</v>
      </c>
      <c r="E75" s="7" t="s">
        <v>65</v>
      </c>
      <c r="F75" s="8">
        <v>1855</v>
      </c>
      <c r="G75" s="8">
        <v>200</v>
      </c>
      <c r="H75" s="8">
        <v>174</v>
      </c>
      <c r="I75" s="8">
        <v>16695</v>
      </c>
      <c r="J75" s="8">
        <v>16330</v>
      </c>
      <c r="K75" s="8">
        <v>123</v>
      </c>
      <c r="L75" s="16" t="s">
        <v>66</v>
      </c>
      <c r="M75" s="7" t="s">
        <v>15</v>
      </c>
    </row>
    <row r="76" spans="1:13" ht="86.95" thickBot="1" x14ac:dyDescent="0.35">
      <c r="A76" s="7" t="s">
        <v>166</v>
      </c>
      <c r="B76" s="7" t="s">
        <v>29</v>
      </c>
      <c r="C76" s="15">
        <v>45505</v>
      </c>
      <c r="D76" s="7" t="s">
        <v>57</v>
      </c>
      <c r="E76" s="7" t="s">
        <v>98</v>
      </c>
      <c r="F76" s="8">
        <v>1674</v>
      </c>
      <c r="G76" s="8">
        <v>929</v>
      </c>
      <c r="H76" s="8">
        <v>37</v>
      </c>
      <c r="I76" s="8">
        <v>21762</v>
      </c>
      <c r="J76" s="8">
        <v>20998</v>
      </c>
      <c r="K76" s="8">
        <v>255</v>
      </c>
      <c r="L76" s="16" t="s">
        <v>66</v>
      </c>
      <c r="M76" s="7" t="s">
        <v>19</v>
      </c>
    </row>
    <row r="77" spans="1:13" ht="72.55" thickBot="1" x14ac:dyDescent="0.35">
      <c r="A77" s="7" t="s">
        <v>167</v>
      </c>
      <c r="B77" s="7" t="s">
        <v>32</v>
      </c>
      <c r="C77" s="15">
        <v>45603</v>
      </c>
      <c r="D77" s="7" t="s">
        <v>68</v>
      </c>
      <c r="E77" s="7" t="s">
        <v>136</v>
      </c>
      <c r="F77" s="8">
        <v>1121</v>
      </c>
      <c r="G77" s="8">
        <v>135</v>
      </c>
      <c r="H77" s="8">
        <v>18</v>
      </c>
      <c r="I77" s="8">
        <v>15694</v>
      </c>
      <c r="J77" s="8">
        <v>14957</v>
      </c>
      <c r="K77" s="8">
        <v>99</v>
      </c>
      <c r="L77" s="16" t="s">
        <v>66</v>
      </c>
      <c r="M77" s="7" t="s">
        <v>19</v>
      </c>
    </row>
    <row r="78" spans="1:13" ht="86.95" thickBot="1" x14ac:dyDescent="0.35">
      <c r="A78" s="7" t="s">
        <v>168</v>
      </c>
      <c r="B78" s="7" t="s">
        <v>30</v>
      </c>
      <c r="C78" s="15">
        <v>45720</v>
      </c>
      <c r="D78" s="7" t="s">
        <v>68</v>
      </c>
      <c r="E78" s="7" t="s">
        <v>91</v>
      </c>
      <c r="F78" s="8">
        <v>1249</v>
      </c>
      <c r="G78" s="8">
        <v>116</v>
      </c>
      <c r="H78" s="8">
        <v>420</v>
      </c>
      <c r="I78" s="8">
        <v>8743</v>
      </c>
      <c r="J78" s="8">
        <v>8538</v>
      </c>
      <c r="K78" s="8">
        <v>63</v>
      </c>
      <c r="L78" s="16" t="s">
        <v>66</v>
      </c>
      <c r="M78" s="7"/>
    </row>
    <row r="79" spans="1:13" ht="72.55" thickBot="1" x14ac:dyDescent="0.35">
      <c r="A79" s="7" t="s">
        <v>169</v>
      </c>
      <c r="B79" s="7" t="s">
        <v>32</v>
      </c>
      <c r="C79" s="15">
        <v>45460</v>
      </c>
      <c r="D79" s="7" t="s">
        <v>78</v>
      </c>
      <c r="E79" s="7" t="s">
        <v>126</v>
      </c>
      <c r="F79" s="8">
        <v>954</v>
      </c>
      <c r="G79" s="8">
        <v>324</v>
      </c>
      <c r="H79" s="8">
        <v>288</v>
      </c>
      <c r="I79" s="8">
        <v>19080</v>
      </c>
      <c r="J79" s="8">
        <v>18859</v>
      </c>
      <c r="K79" s="8">
        <v>21</v>
      </c>
      <c r="L79" s="16" t="s">
        <v>85</v>
      </c>
      <c r="M79" s="7" t="s">
        <v>19</v>
      </c>
    </row>
    <row r="80" spans="1:13" ht="101.35" thickBot="1" x14ac:dyDescent="0.35">
      <c r="A80" s="7" t="s">
        <v>170</v>
      </c>
      <c r="B80" s="7" t="s">
        <v>29</v>
      </c>
      <c r="C80" s="15">
        <v>45574</v>
      </c>
      <c r="D80" s="7" t="s">
        <v>73</v>
      </c>
      <c r="E80" s="7" t="s">
        <v>102</v>
      </c>
      <c r="F80" s="8">
        <v>3068</v>
      </c>
      <c r="G80" s="8">
        <v>137</v>
      </c>
      <c r="H80" s="8">
        <v>329</v>
      </c>
      <c r="I80" s="8">
        <v>39884</v>
      </c>
      <c r="J80" s="8">
        <v>39404</v>
      </c>
      <c r="K80" s="8">
        <v>266</v>
      </c>
      <c r="L80" s="16" t="s">
        <v>70</v>
      </c>
      <c r="M80" s="7" t="s">
        <v>11</v>
      </c>
    </row>
    <row r="81" spans="1:13" ht="86.95" thickBot="1" x14ac:dyDescent="0.35">
      <c r="A81" s="7" t="s">
        <v>171</v>
      </c>
      <c r="B81" s="7" t="s">
        <v>29</v>
      </c>
      <c r="C81" s="15">
        <v>45456</v>
      </c>
      <c r="D81" s="7" t="s">
        <v>68</v>
      </c>
      <c r="E81" s="7" t="s">
        <v>69</v>
      </c>
      <c r="F81" s="8">
        <v>2103</v>
      </c>
      <c r="G81" s="8">
        <v>892</v>
      </c>
      <c r="H81" s="8">
        <v>103</v>
      </c>
      <c r="I81" s="8">
        <v>39957</v>
      </c>
      <c r="J81" s="8">
        <v>39466</v>
      </c>
      <c r="K81" s="8">
        <v>28</v>
      </c>
      <c r="L81" s="16" t="s">
        <v>85</v>
      </c>
      <c r="M81" s="7"/>
    </row>
    <row r="82" spans="1:13" ht="86.95" thickBot="1" x14ac:dyDescent="0.35">
      <c r="A82" s="7" t="s">
        <v>172</v>
      </c>
      <c r="B82" s="7" t="s">
        <v>29</v>
      </c>
      <c r="C82" s="15">
        <v>45584</v>
      </c>
      <c r="D82" s="7" t="s">
        <v>68</v>
      </c>
      <c r="E82" s="7" t="s">
        <v>69</v>
      </c>
      <c r="F82" s="8">
        <v>1816</v>
      </c>
      <c r="G82" s="8">
        <v>29</v>
      </c>
      <c r="H82" s="8">
        <v>41</v>
      </c>
      <c r="I82" s="8">
        <v>19976</v>
      </c>
      <c r="J82" s="8">
        <v>19262</v>
      </c>
      <c r="K82" s="8">
        <v>283</v>
      </c>
      <c r="L82" s="16" t="s">
        <v>66</v>
      </c>
      <c r="M82" s="7" t="s">
        <v>15</v>
      </c>
    </row>
    <row r="83" spans="1:13" ht="97.75" thickBot="1" x14ac:dyDescent="0.35">
      <c r="A83" s="7" t="s">
        <v>173</v>
      </c>
      <c r="B83" s="7" t="s">
        <v>29</v>
      </c>
      <c r="C83" s="15">
        <v>45497</v>
      </c>
      <c r="D83" s="7" t="s">
        <v>78</v>
      </c>
      <c r="E83" s="7" t="s">
        <v>174</v>
      </c>
      <c r="F83" s="8">
        <v>725</v>
      </c>
      <c r="G83" s="8">
        <v>88</v>
      </c>
      <c r="H83" s="8">
        <v>428</v>
      </c>
      <c r="I83" s="8">
        <v>14500</v>
      </c>
      <c r="J83" s="8">
        <v>13637</v>
      </c>
      <c r="K83" s="8">
        <v>200</v>
      </c>
      <c r="L83" s="16" t="s">
        <v>175</v>
      </c>
      <c r="M83" s="7" t="s">
        <v>15</v>
      </c>
    </row>
    <row r="84" spans="1:13" ht="72.55" thickBot="1" x14ac:dyDescent="0.35">
      <c r="A84" s="7" t="s">
        <v>176</v>
      </c>
      <c r="B84" s="7" t="s">
        <v>31</v>
      </c>
      <c r="C84" s="15">
        <v>45580</v>
      </c>
      <c r="D84" s="7" t="s">
        <v>93</v>
      </c>
      <c r="E84" s="7" t="s">
        <v>177</v>
      </c>
      <c r="F84" s="8">
        <v>1094</v>
      </c>
      <c r="G84" s="8">
        <v>472</v>
      </c>
      <c r="H84" s="8">
        <v>21</v>
      </c>
      <c r="I84" s="8">
        <v>9846</v>
      </c>
      <c r="J84" s="8">
        <v>9609</v>
      </c>
      <c r="K84" s="8">
        <v>112</v>
      </c>
      <c r="L84" s="16" t="s">
        <v>70</v>
      </c>
      <c r="M84" s="7"/>
    </row>
    <row r="85" spans="1:13" ht="86.95" thickBot="1" x14ac:dyDescent="0.35">
      <c r="A85" s="7" t="s">
        <v>178</v>
      </c>
      <c r="B85" s="7" t="s">
        <v>30</v>
      </c>
      <c r="C85" s="15">
        <v>45635</v>
      </c>
      <c r="D85" s="7" t="s">
        <v>78</v>
      </c>
      <c r="E85" s="7" t="s">
        <v>83</v>
      </c>
      <c r="F85" s="8">
        <v>1841</v>
      </c>
      <c r="G85" s="8">
        <v>851</v>
      </c>
      <c r="H85" s="8">
        <v>342</v>
      </c>
      <c r="I85" s="8">
        <v>34979</v>
      </c>
      <c r="J85" s="8">
        <v>34154</v>
      </c>
      <c r="K85" s="8">
        <v>255</v>
      </c>
      <c r="L85" s="16" t="s">
        <v>85</v>
      </c>
      <c r="M85" s="7" t="s">
        <v>19</v>
      </c>
    </row>
    <row r="86" spans="1:13" ht="86.95" thickBot="1" x14ac:dyDescent="0.35">
      <c r="A86" s="7" t="s">
        <v>179</v>
      </c>
      <c r="B86" s="7" t="s">
        <v>29</v>
      </c>
      <c r="C86" s="15">
        <v>45766</v>
      </c>
      <c r="D86" s="7" t="s">
        <v>78</v>
      </c>
      <c r="E86" s="7" t="s">
        <v>174</v>
      </c>
      <c r="F86" s="8">
        <v>4177</v>
      </c>
      <c r="G86" s="8">
        <v>569</v>
      </c>
      <c r="H86" s="8">
        <v>55</v>
      </c>
      <c r="I86" s="8">
        <v>25062</v>
      </c>
      <c r="J86" s="8">
        <v>24847</v>
      </c>
      <c r="K86" s="8">
        <v>230</v>
      </c>
      <c r="L86" s="16" t="s">
        <v>85</v>
      </c>
      <c r="M86" s="7" t="s">
        <v>7</v>
      </c>
    </row>
    <row r="87" spans="1:13" ht="72.55" thickBot="1" x14ac:dyDescent="0.35">
      <c r="A87" s="7" t="s">
        <v>180</v>
      </c>
      <c r="B87" s="7" t="s">
        <v>31</v>
      </c>
      <c r="C87" s="15">
        <v>45684</v>
      </c>
      <c r="D87" s="7" t="s">
        <v>61</v>
      </c>
      <c r="E87" s="7" t="s">
        <v>111</v>
      </c>
      <c r="F87" s="8">
        <v>3428</v>
      </c>
      <c r="G87" s="8">
        <v>305</v>
      </c>
      <c r="H87" s="8">
        <v>85</v>
      </c>
      <c r="I87" s="8">
        <v>58276</v>
      </c>
      <c r="J87" s="8">
        <v>58052</v>
      </c>
      <c r="K87" s="8">
        <v>242</v>
      </c>
      <c r="L87" s="16" t="s">
        <v>143</v>
      </c>
      <c r="M87" s="7" t="s">
        <v>19</v>
      </c>
    </row>
    <row r="88" spans="1:13" ht="72.55" thickBot="1" x14ac:dyDescent="0.35">
      <c r="A88" s="7" t="s">
        <v>181</v>
      </c>
      <c r="B88" s="7" t="s">
        <v>32</v>
      </c>
      <c r="C88" s="15">
        <v>45449</v>
      </c>
      <c r="D88" s="7" t="s">
        <v>93</v>
      </c>
      <c r="E88" s="7" t="s">
        <v>133</v>
      </c>
      <c r="F88" s="8">
        <v>1436</v>
      </c>
      <c r="G88" s="8">
        <v>765</v>
      </c>
      <c r="H88" s="8">
        <v>496</v>
      </c>
      <c r="I88" s="8">
        <v>12924</v>
      </c>
      <c r="J88" s="8">
        <v>12701</v>
      </c>
      <c r="K88" s="8">
        <v>197</v>
      </c>
      <c r="L88" s="16" t="s">
        <v>85</v>
      </c>
      <c r="M88" s="7" t="s">
        <v>15</v>
      </c>
    </row>
    <row r="89" spans="1:13" ht="86.95" thickBot="1" x14ac:dyDescent="0.35">
      <c r="A89" s="7" t="s">
        <v>182</v>
      </c>
      <c r="B89" s="7" t="s">
        <v>30</v>
      </c>
      <c r="C89" s="15">
        <v>45480</v>
      </c>
      <c r="D89" s="7" t="s">
        <v>68</v>
      </c>
      <c r="E89" s="7" t="s">
        <v>91</v>
      </c>
      <c r="F89" s="8">
        <v>302</v>
      </c>
      <c r="G89" s="8">
        <v>47</v>
      </c>
      <c r="H89" s="8">
        <v>430</v>
      </c>
      <c r="I89" s="8">
        <v>5738</v>
      </c>
      <c r="J89" s="8">
        <v>4890</v>
      </c>
      <c r="K89" s="8">
        <v>25</v>
      </c>
      <c r="L89" s="16" t="s">
        <v>66</v>
      </c>
      <c r="M89" s="7" t="s">
        <v>19</v>
      </c>
    </row>
    <row r="90" spans="1:13" ht="72.55" thickBot="1" x14ac:dyDescent="0.35">
      <c r="A90" s="7" t="s">
        <v>183</v>
      </c>
      <c r="B90" s="7" t="s">
        <v>32</v>
      </c>
      <c r="C90" s="15">
        <v>45667</v>
      </c>
      <c r="D90" s="7" t="s">
        <v>78</v>
      </c>
      <c r="E90" s="7" t="s">
        <v>126</v>
      </c>
      <c r="F90" s="8">
        <v>2214</v>
      </c>
      <c r="G90" s="8">
        <v>249</v>
      </c>
      <c r="H90" s="8">
        <v>152</v>
      </c>
      <c r="I90" s="8">
        <v>15498</v>
      </c>
      <c r="J90" s="8">
        <v>14800</v>
      </c>
      <c r="K90" s="8">
        <v>180</v>
      </c>
      <c r="L90" s="16" t="s">
        <v>70</v>
      </c>
      <c r="M90" s="7"/>
    </row>
    <row r="91" spans="1:13" ht="86.95" thickBot="1" x14ac:dyDescent="0.35">
      <c r="A91" s="7" t="s">
        <v>184</v>
      </c>
      <c r="B91" s="7" t="s">
        <v>29</v>
      </c>
      <c r="C91" s="15">
        <v>45446</v>
      </c>
      <c r="D91" s="7" t="s">
        <v>78</v>
      </c>
      <c r="E91" s="7" t="s">
        <v>174</v>
      </c>
      <c r="F91" s="8">
        <v>3861</v>
      </c>
      <c r="G91" s="8">
        <v>960</v>
      </c>
      <c r="H91" s="8">
        <v>101</v>
      </c>
      <c r="I91" s="8">
        <v>69498</v>
      </c>
      <c r="J91" s="8">
        <v>68817</v>
      </c>
      <c r="K91" s="8">
        <v>297</v>
      </c>
      <c r="L91" s="16" t="s">
        <v>66</v>
      </c>
      <c r="M91" s="7" t="s">
        <v>19</v>
      </c>
    </row>
    <row r="92" spans="1:13" ht="86.95" thickBot="1" x14ac:dyDescent="0.35">
      <c r="A92" s="7" t="s">
        <v>185</v>
      </c>
      <c r="B92" s="7" t="s">
        <v>30</v>
      </c>
      <c r="C92" s="15">
        <v>45740</v>
      </c>
      <c r="D92" s="7" t="s">
        <v>78</v>
      </c>
      <c r="E92" s="7" t="s">
        <v>83</v>
      </c>
      <c r="F92" s="8">
        <v>1263</v>
      </c>
      <c r="G92" s="8">
        <v>397</v>
      </c>
      <c r="H92" s="8">
        <v>357</v>
      </c>
      <c r="I92" s="8">
        <v>25260</v>
      </c>
      <c r="J92" s="8">
        <v>24615</v>
      </c>
      <c r="K92" s="8">
        <v>137</v>
      </c>
      <c r="L92" s="16" t="s">
        <v>70</v>
      </c>
      <c r="M92" s="7" t="s">
        <v>19</v>
      </c>
    </row>
    <row r="93" spans="1:13" ht="72.55" thickBot="1" x14ac:dyDescent="0.35">
      <c r="A93" s="7" t="s">
        <v>186</v>
      </c>
      <c r="B93" s="7" t="s">
        <v>32</v>
      </c>
      <c r="C93" s="15">
        <v>45586</v>
      </c>
      <c r="D93" s="7" t="s">
        <v>68</v>
      </c>
      <c r="E93" s="7" t="s">
        <v>136</v>
      </c>
      <c r="F93" s="8">
        <v>3801</v>
      </c>
      <c r="G93" s="8">
        <v>967</v>
      </c>
      <c r="H93" s="8">
        <v>401</v>
      </c>
      <c r="I93" s="8">
        <v>38010</v>
      </c>
      <c r="J93" s="8">
        <v>37625</v>
      </c>
      <c r="K93" s="8">
        <v>236</v>
      </c>
      <c r="L93" s="16" t="s">
        <v>85</v>
      </c>
      <c r="M93" s="7" t="s">
        <v>15</v>
      </c>
    </row>
    <row r="94" spans="1:13" ht="86.95" thickBot="1" x14ac:dyDescent="0.35">
      <c r="A94" s="7" t="s">
        <v>187</v>
      </c>
      <c r="B94" s="7" t="s">
        <v>29</v>
      </c>
      <c r="C94" s="15">
        <v>45637</v>
      </c>
      <c r="D94" s="7" t="s">
        <v>93</v>
      </c>
      <c r="E94" s="7" t="s">
        <v>100</v>
      </c>
      <c r="F94" s="8">
        <v>1431</v>
      </c>
      <c r="G94" s="8">
        <v>951</v>
      </c>
      <c r="H94" s="8">
        <v>26</v>
      </c>
      <c r="I94" s="8">
        <v>8586</v>
      </c>
      <c r="J94" s="8">
        <v>8396</v>
      </c>
      <c r="K94" s="8">
        <v>150</v>
      </c>
      <c r="L94" s="16" t="s">
        <v>70</v>
      </c>
      <c r="M94" s="7" t="s">
        <v>15</v>
      </c>
    </row>
    <row r="95" spans="1:13" ht="86.95" thickBot="1" x14ac:dyDescent="0.35">
      <c r="A95" s="7" t="s">
        <v>188</v>
      </c>
      <c r="B95" s="7" t="s">
        <v>29</v>
      </c>
      <c r="C95" s="15">
        <v>45603</v>
      </c>
      <c r="D95" s="7" t="s">
        <v>78</v>
      </c>
      <c r="E95" s="7" t="s">
        <v>174</v>
      </c>
      <c r="F95" s="8">
        <v>2647</v>
      </c>
      <c r="G95" s="8">
        <v>304</v>
      </c>
      <c r="H95" s="8">
        <v>170</v>
      </c>
      <c r="I95" s="8">
        <v>18529</v>
      </c>
      <c r="J95" s="8">
        <v>17841</v>
      </c>
      <c r="K95" s="8">
        <v>46</v>
      </c>
      <c r="L95" s="16" t="s">
        <v>85</v>
      </c>
      <c r="M95" s="7" t="s">
        <v>15</v>
      </c>
    </row>
    <row r="96" spans="1:13" ht="86.95" thickBot="1" x14ac:dyDescent="0.35">
      <c r="A96" s="7" t="s">
        <v>189</v>
      </c>
      <c r="B96" s="7" t="s">
        <v>29</v>
      </c>
      <c r="C96" s="15">
        <v>45604</v>
      </c>
      <c r="D96" s="7" t="s">
        <v>61</v>
      </c>
      <c r="E96" s="7" t="s">
        <v>116</v>
      </c>
      <c r="F96" s="8">
        <v>3182</v>
      </c>
      <c r="G96" s="8">
        <v>559</v>
      </c>
      <c r="H96" s="8">
        <v>160</v>
      </c>
      <c r="I96" s="8">
        <v>57276</v>
      </c>
      <c r="J96" s="8">
        <v>56890</v>
      </c>
      <c r="K96" s="8">
        <v>163</v>
      </c>
      <c r="L96" s="16" t="s">
        <v>85</v>
      </c>
      <c r="M96" s="7" t="s">
        <v>19</v>
      </c>
    </row>
    <row r="97" spans="1:13" ht="72.55" thickBot="1" x14ac:dyDescent="0.35">
      <c r="A97" s="7" t="s">
        <v>190</v>
      </c>
      <c r="B97" s="7" t="s">
        <v>32</v>
      </c>
      <c r="C97" s="15">
        <v>45545</v>
      </c>
      <c r="D97" s="7" t="s">
        <v>78</v>
      </c>
      <c r="E97" s="7" t="s">
        <v>126</v>
      </c>
      <c r="F97" s="8">
        <v>1238</v>
      </c>
      <c r="G97" s="8">
        <v>366</v>
      </c>
      <c r="H97" s="8">
        <v>444</v>
      </c>
      <c r="I97" s="8">
        <v>19808</v>
      </c>
      <c r="J97" s="8">
        <v>19334</v>
      </c>
      <c r="K97" s="8">
        <v>123</v>
      </c>
      <c r="L97" s="16" t="s">
        <v>85</v>
      </c>
      <c r="M97" s="7"/>
    </row>
    <row r="98" spans="1:13" ht="86.95" thickBot="1" x14ac:dyDescent="0.35">
      <c r="A98" s="7" t="s">
        <v>191</v>
      </c>
      <c r="B98" s="7" t="s">
        <v>29</v>
      </c>
      <c r="C98" s="15">
        <v>45517</v>
      </c>
      <c r="D98" s="7" t="s">
        <v>78</v>
      </c>
      <c r="E98" s="7" t="s">
        <v>174</v>
      </c>
      <c r="F98" s="8">
        <v>4739</v>
      </c>
      <c r="G98" s="8">
        <v>527</v>
      </c>
      <c r="H98" s="8">
        <v>135</v>
      </c>
      <c r="I98" s="8">
        <v>61607</v>
      </c>
      <c r="J98" s="8">
        <v>61333</v>
      </c>
      <c r="K98" s="8">
        <v>36</v>
      </c>
      <c r="L98" s="16" t="s">
        <v>106</v>
      </c>
      <c r="M98" s="7" t="s">
        <v>11</v>
      </c>
    </row>
    <row r="99" spans="1:13" ht="72.55" thickBot="1" x14ac:dyDescent="0.35">
      <c r="A99" s="7" t="s">
        <v>192</v>
      </c>
      <c r="B99" s="7" t="s">
        <v>32</v>
      </c>
      <c r="C99" s="15">
        <v>45453</v>
      </c>
      <c r="D99" s="7" t="s">
        <v>68</v>
      </c>
      <c r="E99" s="7" t="s">
        <v>136</v>
      </c>
      <c r="F99" s="8">
        <v>1575</v>
      </c>
      <c r="G99" s="8">
        <v>771</v>
      </c>
      <c r="H99" s="8">
        <v>486</v>
      </c>
      <c r="I99" s="8">
        <v>25200</v>
      </c>
      <c r="J99" s="8">
        <v>24826</v>
      </c>
      <c r="K99" s="8">
        <v>17</v>
      </c>
      <c r="L99" s="16" t="s">
        <v>85</v>
      </c>
      <c r="M99" s="7" t="s">
        <v>19</v>
      </c>
    </row>
    <row r="100" spans="1:13" ht="86.95" thickBot="1" x14ac:dyDescent="0.35">
      <c r="A100" s="7" t="s">
        <v>193</v>
      </c>
      <c r="B100" s="7" t="s">
        <v>31</v>
      </c>
      <c r="C100" s="15">
        <v>45475</v>
      </c>
      <c r="D100" s="7" t="s">
        <v>73</v>
      </c>
      <c r="E100" s="7" t="s">
        <v>89</v>
      </c>
      <c r="F100" s="8">
        <v>4171</v>
      </c>
      <c r="G100" s="8">
        <v>548</v>
      </c>
      <c r="H100" s="8">
        <v>86</v>
      </c>
      <c r="I100" s="8">
        <v>66736</v>
      </c>
      <c r="J100" s="8">
        <v>66634</v>
      </c>
      <c r="K100" s="8">
        <v>173</v>
      </c>
      <c r="L100" s="16" t="s">
        <v>85</v>
      </c>
      <c r="M100" s="7" t="s">
        <v>15</v>
      </c>
    </row>
    <row r="101" spans="1:13" ht="72.55" thickBot="1" x14ac:dyDescent="0.35">
      <c r="A101" s="7" t="s">
        <v>194</v>
      </c>
      <c r="B101" s="7" t="s">
        <v>31</v>
      </c>
      <c r="C101" s="15">
        <v>45698</v>
      </c>
      <c r="D101" s="7" t="s">
        <v>93</v>
      </c>
      <c r="E101" s="7" t="s">
        <v>177</v>
      </c>
      <c r="F101" s="8">
        <v>1766</v>
      </c>
      <c r="G101" s="8">
        <v>92</v>
      </c>
      <c r="H101" s="8">
        <v>424</v>
      </c>
      <c r="I101" s="8">
        <v>24724</v>
      </c>
      <c r="J101" s="8">
        <v>24333</v>
      </c>
      <c r="K101" s="8">
        <v>52</v>
      </c>
      <c r="L101" s="16" t="s">
        <v>70</v>
      </c>
      <c r="M101" s="7"/>
    </row>
    <row r="102" spans="1:13" ht="72.55" thickBot="1" x14ac:dyDescent="0.35">
      <c r="A102" s="7" t="s">
        <v>195</v>
      </c>
      <c r="B102" s="7" t="s">
        <v>31</v>
      </c>
      <c r="C102" s="15">
        <v>45583</v>
      </c>
      <c r="D102" s="7" t="s">
        <v>93</v>
      </c>
      <c r="E102" s="7" t="s">
        <v>177</v>
      </c>
      <c r="F102" s="8">
        <v>4450</v>
      </c>
      <c r="G102" s="8">
        <v>983</v>
      </c>
      <c r="H102" s="8">
        <v>143</v>
      </c>
      <c r="I102" s="8">
        <v>75650</v>
      </c>
      <c r="J102" s="8">
        <v>75008</v>
      </c>
      <c r="K102" s="8">
        <v>12</v>
      </c>
      <c r="L102" s="16" t="s">
        <v>85</v>
      </c>
      <c r="M102" s="7" t="s">
        <v>15</v>
      </c>
    </row>
    <row r="103" spans="1:13" ht="72.55" thickBot="1" x14ac:dyDescent="0.35">
      <c r="A103" s="7" t="s">
        <v>196</v>
      </c>
      <c r="B103" s="7" t="s">
        <v>32</v>
      </c>
      <c r="C103" s="15">
        <v>45553</v>
      </c>
      <c r="D103" s="7" t="s">
        <v>57</v>
      </c>
      <c r="E103" s="7" t="s">
        <v>58</v>
      </c>
      <c r="F103" s="8">
        <v>1000</v>
      </c>
      <c r="G103" s="8">
        <v>978</v>
      </c>
      <c r="H103" s="8">
        <v>162</v>
      </c>
      <c r="I103" s="8">
        <v>6000</v>
      </c>
      <c r="J103" s="8">
        <v>5221</v>
      </c>
      <c r="K103" s="8">
        <v>223</v>
      </c>
      <c r="L103" s="16" t="s">
        <v>70</v>
      </c>
      <c r="M103" s="7" t="s">
        <v>11</v>
      </c>
    </row>
    <row r="104" spans="1:13" ht="86.95" thickBot="1" x14ac:dyDescent="0.35">
      <c r="A104" s="7" t="s">
        <v>197</v>
      </c>
      <c r="B104" s="7" t="s">
        <v>30</v>
      </c>
      <c r="C104" s="15">
        <v>45454</v>
      </c>
      <c r="D104" s="7" t="s">
        <v>78</v>
      </c>
      <c r="E104" s="7" t="s">
        <v>83</v>
      </c>
      <c r="F104" s="8">
        <v>3689</v>
      </c>
      <c r="G104" s="8">
        <v>48</v>
      </c>
      <c r="H104" s="8">
        <v>306</v>
      </c>
      <c r="I104" s="8">
        <v>40579</v>
      </c>
      <c r="J104" s="8">
        <v>39588</v>
      </c>
      <c r="K104" s="8">
        <v>212</v>
      </c>
      <c r="L104" s="16" t="s">
        <v>70</v>
      </c>
      <c r="M104" s="7" t="s">
        <v>11</v>
      </c>
    </row>
    <row r="105" spans="1:13" ht="72.55" thickBot="1" x14ac:dyDescent="0.35">
      <c r="A105" s="7" t="s">
        <v>198</v>
      </c>
      <c r="B105" s="7" t="s">
        <v>31</v>
      </c>
      <c r="C105" s="15">
        <v>45739</v>
      </c>
      <c r="D105" s="7" t="s">
        <v>68</v>
      </c>
      <c r="E105" s="7" t="s">
        <v>139</v>
      </c>
      <c r="F105" s="8">
        <v>3655</v>
      </c>
      <c r="G105" s="8">
        <v>568</v>
      </c>
      <c r="H105" s="8">
        <v>286</v>
      </c>
      <c r="I105" s="8">
        <v>32895</v>
      </c>
      <c r="J105" s="8">
        <v>32015</v>
      </c>
      <c r="K105" s="8">
        <v>199</v>
      </c>
      <c r="L105" s="16" t="s">
        <v>66</v>
      </c>
      <c r="M105" s="7" t="s">
        <v>15</v>
      </c>
    </row>
    <row r="106" spans="1:13" ht="101.35" thickBot="1" x14ac:dyDescent="0.35">
      <c r="A106" s="7" t="s">
        <v>199</v>
      </c>
      <c r="B106" s="7" t="s">
        <v>29</v>
      </c>
      <c r="C106" s="15">
        <v>45457</v>
      </c>
      <c r="D106" s="7" t="s">
        <v>73</v>
      </c>
      <c r="E106" s="7" t="s">
        <v>102</v>
      </c>
      <c r="F106" s="8">
        <v>498</v>
      </c>
      <c r="G106" s="8">
        <v>38</v>
      </c>
      <c r="H106" s="8">
        <v>42</v>
      </c>
      <c r="I106" s="8">
        <v>4482</v>
      </c>
      <c r="J106" s="8">
        <v>3647</v>
      </c>
      <c r="K106" s="8">
        <v>32</v>
      </c>
      <c r="L106" s="16" t="s">
        <v>85</v>
      </c>
      <c r="M106" s="7" t="s">
        <v>7</v>
      </c>
    </row>
    <row r="107" spans="1:13" ht="86.95" thickBot="1" x14ac:dyDescent="0.35">
      <c r="A107" s="7" t="s">
        <v>200</v>
      </c>
      <c r="B107" s="7" t="s">
        <v>29</v>
      </c>
      <c r="C107" s="15">
        <v>45692</v>
      </c>
      <c r="D107" s="7" t="s">
        <v>78</v>
      </c>
      <c r="E107" s="7" t="s">
        <v>174</v>
      </c>
      <c r="F107" s="8">
        <v>4619</v>
      </c>
      <c r="G107" s="8">
        <v>821</v>
      </c>
      <c r="H107" s="8">
        <v>499</v>
      </c>
      <c r="I107" s="8">
        <v>69285</v>
      </c>
      <c r="J107" s="8">
        <v>69141</v>
      </c>
      <c r="K107" s="8">
        <v>298</v>
      </c>
      <c r="L107" s="16" t="s">
        <v>66</v>
      </c>
      <c r="M107" s="7" t="s">
        <v>19</v>
      </c>
    </row>
    <row r="108" spans="1:13" ht="72.55" thickBot="1" x14ac:dyDescent="0.35">
      <c r="A108" s="7" t="s">
        <v>201</v>
      </c>
      <c r="B108" s="7" t="s">
        <v>31</v>
      </c>
      <c r="C108" s="15">
        <v>45464</v>
      </c>
      <c r="D108" s="7" t="s">
        <v>78</v>
      </c>
      <c r="E108" s="7" t="s">
        <v>79</v>
      </c>
      <c r="F108" s="8">
        <v>4832</v>
      </c>
      <c r="G108" s="8">
        <v>893</v>
      </c>
      <c r="H108" s="8">
        <v>10</v>
      </c>
      <c r="I108" s="8">
        <v>91808</v>
      </c>
      <c r="J108" s="8">
        <v>91296</v>
      </c>
      <c r="K108" s="8">
        <v>182</v>
      </c>
      <c r="L108" s="16" t="s">
        <v>66</v>
      </c>
      <c r="M108" s="7"/>
    </row>
    <row r="109" spans="1:13" ht="72.55" thickBot="1" x14ac:dyDescent="0.35">
      <c r="A109" s="7" t="s">
        <v>202</v>
      </c>
      <c r="B109" s="7" t="s">
        <v>32</v>
      </c>
      <c r="C109" s="15">
        <v>45741</v>
      </c>
      <c r="D109" s="7" t="s">
        <v>93</v>
      </c>
      <c r="E109" s="7" t="s">
        <v>133</v>
      </c>
      <c r="F109" s="8">
        <v>4050</v>
      </c>
      <c r="G109" s="8">
        <v>871</v>
      </c>
      <c r="H109" s="8">
        <v>347</v>
      </c>
      <c r="I109" s="8">
        <v>52650</v>
      </c>
      <c r="J109" s="8">
        <v>51755</v>
      </c>
      <c r="K109" s="8">
        <v>209</v>
      </c>
      <c r="L109" s="16" t="s">
        <v>66</v>
      </c>
      <c r="M109" s="7" t="s">
        <v>11</v>
      </c>
    </row>
    <row r="110" spans="1:13" ht="72.55" thickBot="1" x14ac:dyDescent="0.35">
      <c r="A110" s="7" t="s">
        <v>203</v>
      </c>
      <c r="B110" s="7" t="s">
        <v>32</v>
      </c>
      <c r="C110" s="15">
        <v>45512</v>
      </c>
      <c r="D110" s="7" t="s">
        <v>68</v>
      </c>
      <c r="E110" s="7" t="s">
        <v>136</v>
      </c>
      <c r="F110" s="8">
        <v>3649</v>
      </c>
      <c r="G110" s="8">
        <v>215</v>
      </c>
      <c r="H110" s="8">
        <v>413</v>
      </c>
      <c r="I110" s="8">
        <v>25543</v>
      </c>
      <c r="J110" s="8">
        <v>24963</v>
      </c>
      <c r="K110" s="8">
        <v>167</v>
      </c>
      <c r="L110" s="16" t="s">
        <v>85</v>
      </c>
      <c r="M110" s="7" t="s">
        <v>15</v>
      </c>
    </row>
    <row r="111" spans="1:13" ht="86.95" thickBot="1" x14ac:dyDescent="0.35">
      <c r="A111" s="7" t="s">
        <v>204</v>
      </c>
      <c r="B111" s="7" t="s">
        <v>29</v>
      </c>
      <c r="C111" s="15">
        <v>45502</v>
      </c>
      <c r="D111" s="7" t="s">
        <v>57</v>
      </c>
      <c r="E111" s="7" t="s">
        <v>98</v>
      </c>
      <c r="F111" s="8">
        <v>3523</v>
      </c>
      <c r="G111" s="8">
        <v>753</v>
      </c>
      <c r="H111" s="8">
        <v>482</v>
      </c>
      <c r="I111" s="8">
        <v>38753</v>
      </c>
      <c r="J111" s="8">
        <v>38579</v>
      </c>
      <c r="K111" s="8">
        <v>270</v>
      </c>
      <c r="L111" s="16" t="s">
        <v>70</v>
      </c>
      <c r="M111" s="7" t="s">
        <v>11</v>
      </c>
    </row>
    <row r="112" spans="1:13" ht="72.55" thickBot="1" x14ac:dyDescent="0.35">
      <c r="A112" s="7" t="s">
        <v>205</v>
      </c>
      <c r="B112" s="7" t="s">
        <v>31</v>
      </c>
      <c r="C112" s="15">
        <v>45619</v>
      </c>
      <c r="D112" s="7" t="s">
        <v>78</v>
      </c>
      <c r="E112" s="7" t="s">
        <v>79</v>
      </c>
      <c r="F112" s="8">
        <v>2719</v>
      </c>
      <c r="G112" s="8">
        <v>17</v>
      </c>
      <c r="H112" s="8">
        <v>285</v>
      </c>
      <c r="I112" s="8">
        <v>40785</v>
      </c>
      <c r="J112" s="8">
        <v>40281</v>
      </c>
      <c r="K112" s="8">
        <v>40</v>
      </c>
      <c r="L112" s="16" t="s">
        <v>66</v>
      </c>
      <c r="M112" s="7" t="s">
        <v>11</v>
      </c>
    </row>
    <row r="113" spans="1:13" ht="72.55" thickBot="1" x14ac:dyDescent="0.35">
      <c r="A113" s="7" t="s">
        <v>206</v>
      </c>
      <c r="B113" s="7" t="s">
        <v>32</v>
      </c>
      <c r="C113" s="15">
        <v>45570</v>
      </c>
      <c r="D113" s="7" t="s">
        <v>68</v>
      </c>
      <c r="E113" s="7" t="s">
        <v>136</v>
      </c>
      <c r="F113" s="8">
        <v>1957</v>
      </c>
      <c r="G113" s="8">
        <v>877</v>
      </c>
      <c r="H113" s="8">
        <v>238</v>
      </c>
      <c r="I113" s="8">
        <v>17613</v>
      </c>
      <c r="J113" s="8">
        <v>16865</v>
      </c>
      <c r="K113" s="8">
        <v>297</v>
      </c>
      <c r="L113" s="16" t="s">
        <v>85</v>
      </c>
      <c r="M113" s="7" t="s">
        <v>15</v>
      </c>
    </row>
    <row r="114" spans="1:13" ht="86.95" thickBot="1" x14ac:dyDescent="0.35">
      <c r="A114" s="7" t="s">
        <v>207</v>
      </c>
      <c r="B114" s="7" t="s">
        <v>32</v>
      </c>
      <c r="C114" s="15">
        <v>45567</v>
      </c>
      <c r="D114" s="7" t="s">
        <v>73</v>
      </c>
      <c r="E114" s="7" t="s">
        <v>76</v>
      </c>
      <c r="F114" s="8">
        <v>4419</v>
      </c>
      <c r="G114" s="8">
        <v>236</v>
      </c>
      <c r="H114" s="8">
        <v>369</v>
      </c>
      <c r="I114" s="8">
        <v>44190</v>
      </c>
      <c r="J114" s="8">
        <v>43582</v>
      </c>
      <c r="K114" s="8">
        <v>10</v>
      </c>
      <c r="L114" s="16" t="s">
        <v>70</v>
      </c>
      <c r="M114" s="7" t="s">
        <v>7</v>
      </c>
    </row>
    <row r="115" spans="1:13" ht="72.55" thickBot="1" x14ac:dyDescent="0.35">
      <c r="A115" s="7" t="s">
        <v>208</v>
      </c>
      <c r="B115" s="7" t="s">
        <v>32</v>
      </c>
      <c r="C115" s="15">
        <v>45610</v>
      </c>
      <c r="D115" s="7" t="s">
        <v>68</v>
      </c>
      <c r="E115" s="7" t="s">
        <v>136</v>
      </c>
      <c r="F115" s="8">
        <v>4000</v>
      </c>
      <c r="G115" s="8">
        <v>689</v>
      </c>
      <c r="H115" s="8">
        <v>488</v>
      </c>
      <c r="I115" s="8">
        <v>40000</v>
      </c>
      <c r="J115" s="8">
        <v>39569</v>
      </c>
      <c r="K115" s="8">
        <v>44</v>
      </c>
      <c r="L115" s="16" t="s">
        <v>85</v>
      </c>
      <c r="M115" s="7" t="s">
        <v>7</v>
      </c>
    </row>
    <row r="116" spans="1:13" ht="72.55" thickBot="1" x14ac:dyDescent="0.35">
      <c r="A116" s="7" t="s">
        <v>209</v>
      </c>
      <c r="B116" s="7" t="s">
        <v>32</v>
      </c>
      <c r="C116" s="15">
        <v>45788</v>
      </c>
      <c r="D116" s="7" t="s">
        <v>78</v>
      </c>
      <c r="E116" s="7" t="s">
        <v>126</v>
      </c>
      <c r="F116" s="8">
        <v>2493</v>
      </c>
      <c r="G116" s="8">
        <v>97</v>
      </c>
      <c r="H116" s="8">
        <v>44</v>
      </c>
      <c r="I116" s="8">
        <v>42381</v>
      </c>
      <c r="J116" s="8">
        <v>41991</v>
      </c>
      <c r="K116" s="8">
        <v>242</v>
      </c>
      <c r="L116" s="16" t="s">
        <v>106</v>
      </c>
      <c r="M116" s="7" t="s">
        <v>19</v>
      </c>
    </row>
    <row r="117" spans="1:13" ht="72.55" thickBot="1" x14ac:dyDescent="0.35">
      <c r="A117" s="7" t="s">
        <v>210</v>
      </c>
      <c r="B117" s="7" t="s">
        <v>31</v>
      </c>
      <c r="C117" s="15">
        <v>45734</v>
      </c>
      <c r="D117" s="7" t="s">
        <v>57</v>
      </c>
      <c r="E117" s="7" t="s">
        <v>65</v>
      </c>
      <c r="F117" s="8">
        <v>3704</v>
      </c>
      <c r="G117" s="8">
        <v>186</v>
      </c>
      <c r="H117" s="8">
        <v>458</v>
      </c>
      <c r="I117" s="8">
        <v>25928</v>
      </c>
      <c r="J117" s="8">
        <v>25081</v>
      </c>
      <c r="K117" s="8">
        <v>131</v>
      </c>
      <c r="L117" s="16" t="s">
        <v>66</v>
      </c>
      <c r="M117" s="7"/>
    </row>
    <row r="118" spans="1:13" ht="72.55" thickBot="1" x14ac:dyDescent="0.35">
      <c r="A118" s="7" t="s">
        <v>211</v>
      </c>
      <c r="B118" s="7" t="s">
        <v>32</v>
      </c>
      <c r="C118" s="15">
        <v>45600</v>
      </c>
      <c r="D118" s="7" t="s">
        <v>78</v>
      </c>
      <c r="E118" s="7" t="s">
        <v>126</v>
      </c>
      <c r="F118" s="8">
        <v>1606</v>
      </c>
      <c r="G118" s="8">
        <v>451</v>
      </c>
      <c r="H118" s="8">
        <v>405</v>
      </c>
      <c r="I118" s="8">
        <v>20878</v>
      </c>
      <c r="J118" s="8">
        <v>20190</v>
      </c>
      <c r="K118" s="8">
        <v>219</v>
      </c>
      <c r="L118" s="16" t="s">
        <v>70</v>
      </c>
      <c r="M118" s="7" t="s">
        <v>19</v>
      </c>
    </row>
    <row r="119" spans="1:13" ht="86.95" thickBot="1" x14ac:dyDescent="0.35">
      <c r="A119" s="7" t="s">
        <v>212</v>
      </c>
      <c r="B119" s="7" t="s">
        <v>30</v>
      </c>
      <c r="C119" s="15">
        <v>45600</v>
      </c>
      <c r="D119" s="7" t="s">
        <v>78</v>
      </c>
      <c r="E119" s="7" t="s">
        <v>83</v>
      </c>
      <c r="F119" s="8">
        <v>4551</v>
      </c>
      <c r="G119" s="8">
        <v>714</v>
      </c>
      <c r="H119" s="8">
        <v>207</v>
      </c>
      <c r="I119" s="8">
        <v>68265</v>
      </c>
      <c r="J119" s="8">
        <v>67754</v>
      </c>
      <c r="K119" s="8">
        <v>57</v>
      </c>
      <c r="L119" s="16" t="s">
        <v>85</v>
      </c>
      <c r="M119" s="7" t="s">
        <v>15</v>
      </c>
    </row>
    <row r="120" spans="1:13" ht="86.95" thickBot="1" x14ac:dyDescent="0.35">
      <c r="A120" s="7" t="s">
        <v>213</v>
      </c>
      <c r="B120" s="7" t="s">
        <v>29</v>
      </c>
      <c r="C120" s="15">
        <v>45695</v>
      </c>
      <c r="D120" s="7" t="s">
        <v>57</v>
      </c>
      <c r="E120" s="7" t="s">
        <v>98</v>
      </c>
      <c r="F120" s="8">
        <v>1970</v>
      </c>
      <c r="G120" s="8">
        <v>675</v>
      </c>
      <c r="H120" s="8">
        <v>478</v>
      </c>
      <c r="I120" s="8">
        <v>9850</v>
      </c>
      <c r="J120" s="8">
        <v>8924</v>
      </c>
      <c r="K120" s="8">
        <v>117</v>
      </c>
      <c r="L120" s="16" t="s">
        <v>85</v>
      </c>
      <c r="M120" s="7"/>
    </row>
    <row r="121" spans="1:13" ht="86.95" thickBot="1" x14ac:dyDescent="0.35">
      <c r="A121" s="7" t="s">
        <v>214</v>
      </c>
      <c r="B121" s="7" t="s">
        <v>30</v>
      </c>
      <c r="C121" s="15">
        <v>45586</v>
      </c>
      <c r="D121" s="7" t="s">
        <v>68</v>
      </c>
      <c r="E121" s="7" t="s">
        <v>91</v>
      </c>
      <c r="F121" s="8">
        <v>780</v>
      </c>
      <c r="G121" s="8">
        <v>928</v>
      </c>
      <c r="H121" s="8">
        <v>301</v>
      </c>
      <c r="I121" s="8">
        <v>8580</v>
      </c>
      <c r="J121" s="8">
        <v>8081</v>
      </c>
      <c r="K121" s="8">
        <v>91</v>
      </c>
      <c r="L121" s="16" t="s">
        <v>70</v>
      </c>
      <c r="M121" s="7" t="s">
        <v>15</v>
      </c>
    </row>
    <row r="122" spans="1:13" ht="86.95" thickBot="1" x14ac:dyDescent="0.35">
      <c r="A122" s="7" t="s">
        <v>215</v>
      </c>
      <c r="B122" s="7" t="s">
        <v>29</v>
      </c>
      <c r="C122" s="15">
        <v>45502</v>
      </c>
      <c r="D122" s="7" t="s">
        <v>68</v>
      </c>
      <c r="E122" s="7" t="s">
        <v>69</v>
      </c>
      <c r="F122" s="8">
        <v>498</v>
      </c>
      <c r="G122" s="8">
        <v>701</v>
      </c>
      <c r="H122" s="8">
        <v>412</v>
      </c>
      <c r="I122" s="8">
        <v>4980</v>
      </c>
      <c r="J122" s="8">
        <v>4185</v>
      </c>
      <c r="K122" s="8">
        <v>185</v>
      </c>
      <c r="L122" s="16" t="s">
        <v>85</v>
      </c>
      <c r="M122" s="7"/>
    </row>
    <row r="123" spans="1:13" ht="86.95" thickBot="1" x14ac:dyDescent="0.35">
      <c r="A123" s="7" t="s">
        <v>216</v>
      </c>
      <c r="B123" s="7" t="s">
        <v>29</v>
      </c>
      <c r="C123" s="15">
        <v>45567</v>
      </c>
      <c r="D123" s="7" t="s">
        <v>61</v>
      </c>
      <c r="E123" s="7" t="s">
        <v>116</v>
      </c>
      <c r="F123" s="8">
        <v>3432</v>
      </c>
      <c r="G123" s="8">
        <v>869</v>
      </c>
      <c r="H123" s="8">
        <v>123</v>
      </c>
      <c r="I123" s="8">
        <v>54912</v>
      </c>
      <c r="J123" s="8">
        <v>53916</v>
      </c>
      <c r="K123" s="8">
        <v>264</v>
      </c>
      <c r="L123" s="16" t="s">
        <v>70</v>
      </c>
      <c r="M123" s="7" t="s">
        <v>11</v>
      </c>
    </row>
    <row r="124" spans="1:13" ht="86.95" thickBot="1" x14ac:dyDescent="0.35">
      <c r="A124" s="7" t="s">
        <v>217</v>
      </c>
      <c r="B124" s="7" t="s">
        <v>29</v>
      </c>
      <c r="C124" s="15">
        <v>45457</v>
      </c>
      <c r="D124" s="7" t="s">
        <v>68</v>
      </c>
      <c r="E124" s="7" t="s">
        <v>69</v>
      </c>
      <c r="F124" s="8">
        <v>4363</v>
      </c>
      <c r="G124" s="8">
        <v>649</v>
      </c>
      <c r="H124" s="8">
        <v>140</v>
      </c>
      <c r="I124" s="8">
        <v>21815</v>
      </c>
      <c r="J124" s="8">
        <v>21481</v>
      </c>
      <c r="K124" s="8">
        <v>157</v>
      </c>
      <c r="L124" s="16" t="s">
        <v>70</v>
      </c>
      <c r="M124" s="7" t="s">
        <v>7</v>
      </c>
    </row>
    <row r="125" spans="1:13" ht="86.95" thickBot="1" x14ac:dyDescent="0.35">
      <c r="A125" s="7" t="s">
        <v>218</v>
      </c>
      <c r="B125" s="7" t="s">
        <v>31</v>
      </c>
      <c r="C125" s="15">
        <v>45753</v>
      </c>
      <c r="D125" s="7" t="s">
        <v>73</v>
      </c>
      <c r="E125" s="7" t="s">
        <v>89</v>
      </c>
      <c r="F125" s="8">
        <v>736</v>
      </c>
      <c r="G125" s="8">
        <v>771</v>
      </c>
      <c r="H125" s="8">
        <v>225</v>
      </c>
      <c r="I125" s="8">
        <v>5152</v>
      </c>
      <c r="J125" s="8">
        <v>4706</v>
      </c>
      <c r="K125" s="8">
        <v>19</v>
      </c>
      <c r="L125" s="16" t="s">
        <v>70</v>
      </c>
      <c r="M125" s="7" t="s">
        <v>7</v>
      </c>
    </row>
    <row r="126" spans="1:13" ht="86.95" thickBot="1" x14ac:dyDescent="0.35">
      <c r="A126" s="7" t="s">
        <v>219</v>
      </c>
      <c r="B126" s="7" t="s">
        <v>32</v>
      </c>
      <c r="C126" s="15">
        <v>45543</v>
      </c>
      <c r="D126" s="7" t="s">
        <v>73</v>
      </c>
      <c r="E126" s="7" t="s">
        <v>76</v>
      </c>
      <c r="F126" s="8">
        <v>3811</v>
      </c>
      <c r="G126" s="8">
        <v>866</v>
      </c>
      <c r="H126" s="8">
        <v>216</v>
      </c>
      <c r="I126" s="8">
        <v>34299</v>
      </c>
      <c r="J126" s="8">
        <v>34088</v>
      </c>
      <c r="K126" s="8">
        <v>233</v>
      </c>
      <c r="L126" s="16" t="s">
        <v>66</v>
      </c>
      <c r="M126" s="7" t="s">
        <v>19</v>
      </c>
    </row>
    <row r="127" spans="1:13" ht="101.35" thickBot="1" x14ac:dyDescent="0.35">
      <c r="A127" s="7" t="s">
        <v>220</v>
      </c>
      <c r="B127" s="7" t="s">
        <v>29</v>
      </c>
      <c r="C127" s="15">
        <v>45744</v>
      </c>
      <c r="D127" s="7" t="s">
        <v>73</v>
      </c>
      <c r="E127" s="7" t="s">
        <v>102</v>
      </c>
      <c r="F127" s="8">
        <v>4158</v>
      </c>
      <c r="G127" s="8">
        <v>167</v>
      </c>
      <c r="H127" s="8">
        <v>241</v>
      </c>
      <c r="I127" s="8">
        <v>45738</v>
      </c>
      <c r="J127" s="8">
        <v>45183</v>
      </c>
      <c r="K127" s="8">
        <v>142</v>
      </c>
      <c r="L127" s="16" t="s">
        <v>85</v>
      </c>
      <c r="M127" s="7"/>
    </row>
    <row r="128" spans="1:13" ht="86.95" thickBot="1" x14ac:dyDescent="0.35">
      <c r="A128" s="7" t="s">
        <v>221</v>
      </c>
      <c r="B128" s="7" t="s">
        <v>30</v>
      </c>
      <c r="C128" s="15">
        <v>45684</v>
      </c>
      <c r="D128" s="7" t="s">
        <v>57</v>
      </c>
      <c r="E128" s="7" t="s">
        <v>87</v>
      </c>
      <c r="F128" s="8">
        <v>3452</v>
      </c>
      <c r="G128" s="8">
        <v>652</v>
      </c>
      <c r="H128" s="8">
        <v>442</v>
      </c>
      <c r="I128" s="8">
        <v>65588</v>
      </c>
      <c r="J128" s="8">
        <v>65049</v>
      </c>
      <c r="K128" s="8">
        <v>158</v>
      </c>
      <c r="L128" s="16" t="s">
        <v>85</v>
      </c>
      <c r="M128" s="7" t="s">
        <v>15</v>
      </c>
    </row>
    <row r="129" spans="1:13" ht="72.55" thickBot="1" x14ac:dyDescent="0.35">
      <c r="A129" s="7" t="s">
        <v>222</v>
      </c>
      <c r="B129" s="7" t="s">
        <v>32</v>
      </c>
      <c r="C129" s="15">
        <v>45667</v>
      </c>
      <c r="D129" s="7" t="s">
        <v>78</v>
      </c>
      <c r="E129" s="7" t="s">
        <v>126</v>
      </c>
      <c r="F129" s="8">
        <v>3092</v>
      </c>
      <c r="G129" s="8">
        <v>106</v>
      </c>
      <c r="H129" s="8">
        <v>291</v>
      </c>
      <c r="I129" s="8">
        <v>27828</v>
      </c>
      <c r="J129" s="8">
        <v>27217</v>
      </c>
      <c r="K129" s="8">
        <v>102</v>
      </c>
      <c r="L129" s="16" t="s">
        <v>85</v>
      </c>
      <c r="M129" s="7"/>
    </row>
    <row r="130" spans="1:13" ht="72.55" thickBot="1" x14ac:dyDescent="0.35">
      <c r="A130" s="7" t="s">
        <v>223</v>
      </c>
      <c r="B130" s="7" t="s">
        <v>32</v>
      </c>
      <c r="C130" s="15">
        <v>45494</v>
      </c>
      <c r="D130" s="7" t="s">
        <v>61</v>
      </c>
      <c r="E130" s="7" t="s">
        <v>62</v>
      </c>
      <c r="F130" s="8">
        <v>2147</v>
      </c>
      <c r="G130" s="8">
        <v>430</v>
      </c>
      <c r="H130" s="8">
        <v>393</v>
      </c>
      <c r="I130" s="8">
        <v>17176</v>
      </c>
      <c r="J130" s="8">
        <v>16483</v>
      </c>
      <c r="K130" s="8">
        <v>170</v>
      </c>
      <c r="L130" s="16" t="s">
        <v>66</v>
      </c>
      <c r="M130" s="7"/>
    </row>
    <row r="131" spans="1:13" ht="72.55" thickBot="1" x14ac:dyDescent="0.35">
      <c r="A131" s="7" t="s">
        <v>224</v>
      </c>
      <c r="B131" s="7" t="s">
        <v>31</v>
      </c>
      <c r="C131" s="15">
        <v>45564</v>
      </c>
      <c r="D131" s="7" t="s">
        <v>57</v>
      </c>
      <c r="E131" s="7" t="s">
        <v>65</v>
      </c>
      <c r="F131" s="8">
        <v>2936</v>
      </c>
      <c r="G131" s="8">
        <v>439</v>
      </c>
      <c r="H131" s="8">
        <v>44</v>
      </c>
      <c r="I131" s="8">
        <v>38168</v>
      </c>
      <c r="J131" s="8">
        <v>37571</v>
      </c>
      <c r="K131" s="8">
        <v>22</v>
      </c>
      <c r="L131" s="16" t="s">
        <v>70</v>
      </c>
      <c r="M131" s="7" t="s">
        <v>19</v>
      </c>
    </row>
    <row r="132" spans="1:13" ht="86.95" thickBot="1" x14ac:dyDescent="0.35">
      <c r="A132" s="7" t="s">
        <v>225</v>
      </c>
      <c r="B132" s="7" t="s">
        <v>29</v>
      </c>
      <c r="C132" s="15">
        <v>45586</v>
      </c>
      <c r="D132" s="7" t="s">
        <v>57</v>
      </c>
      <c r="E132" s="7" t="s">
        <v>98</v>
      </c>
      <c r="F132" s="8">
        <v>4840</v>
      </c>
      <c r="G132" s="8">
        <v>658</v>
      </c>
      <c r="H132" s="8">
        <v>211</v>
      </c>
      <c r="I132" s="8">
        <v>43560</v>
      </c>
      <c r="J132" s="8">
        <v>43225</v>
      </c>
      <c r="K132" s="8">
        <v>57</v>
      </c>
      <c r="L132" s="16" t="s">
        <v>85</v>
      </c>
      <c r="M132" s="7" t="s">
        <v>15</v>
      </c>
    </row>
    <row r="133" spans="1:13" ht="86.95" thickBot="1" x14ac:dyDescent="0.35">
      <c r="A133" s="7" t="s">
        <v>226</v>
      </c>
      <c r="B133" s="7" t="s">
        <v>29</v>
      </c>
      <c r="C133" s="15">
        <v>45720</v>
      </c>
      <c r="D133" s="7" t="s">
        <v>68</v>
      </c>
      <c r="E133" s="7" t="s">
        <v>69</v>
      </c>
      <c r="F133" s="8">
        <v>1947</v>
      </c>
      <c r="G133" s="8">
        <v>842</v>
      </c>
      <c r="H133" s="8">
        <v>101</v>
      </c>
      <c r="I133" s="8">
        <v>21417</v>
      </c>
      <c r="J133" s="8">
        <v>20967</v>
      </c>
      <c r="K133" s="8">
        <v>186</v>
      </c>
      <c r="L133" s="16" t="s">
        <v>85</v>
      </c>
      <c r="M133" s="7" t="s">
        <v>11</v>
      </c>
    </row>
    <row r="134" spans="1:13" ht="86.95" thickBot="1" x14ac:dyDescent="0.35">
      <c r="A134" s="7" t="s">
        <v>227</v>
      </c>
      <c r="B134" s="7" t="s">
        <v>30</v>
      </c>
      <c r="C134" s="15">
        <v>45694</v>
      </c>
      <c r="D134" s="7" t="s">
        <v>78</v>
      </c>
      <c r="E134" s="7" t="s">
        <v>83</v>
      </c>
      <c r="F134" s="8">
        <v>2072</v>
      </c>
      <c r="G134" s="8">
        <v>532</v>
      </c>
      <c r="H134" s="8">
        <v>71</v>
      </c>
      <c r="I134" s="8">
        <v>37296</v>
      </c>
      <c r="J134" s="8">
        <v>36467</v>
      </c>
      <c r="K134" s="8">
        <v>25</v>
      </c>
      <c r="L134" s="16" t="s">
        <v>66</v>
      </c>
      <c r="M134" s="7" t="s">
        <v>19</v>
      </c>
    </row>
    <row r="135" spans="1:13" ht="72.55" thickBot="1" x14ac:dyDescent="0.35">
      <c r="A135" s="7" t="s">
        <v>228</v>
      </c>
      <c r="B135" s="7" t="s">
        <v>32</v>
      </c>
      <c r="C135" s="15">
        <v>45771</v>
      </c>
      <c r="D135" s="7" t="s">
        <v>57</v>
      </c>
      <c r="E135" s="7" t="s">
        <v>58</v>
      </c>
      <c r="F135" s="8">
        <v>3731</v>
      </c>
      <c r="G135" s="8">
        <v>115</v>
      </c>
      <c r="H135" s="8">
        <v>135</v>
      </c>
      <c r="I135" s="8">
        <v>55965</v>
      </c>
      <c r="J135" s="8">
        <v>55436</v>
      </c>
      <c r="K135" s="8">
        <v>103</v>
      </c>
      <c r="L135" s="16" t="s">
        <v>66</v>
      </c>
      <c r="M135" s="7" t="s">
        <v>7</v>
      </c>
    </row>
    <row r="136" spans="1:13" ht="86.95" thickBot="1" x14ac:dyDescent="0.35">
      <c r="A136" s="7" t="s">
        <v>229</v>
      </c>
      <c r="B136" s="7" t="s">
        <v>30</v>
      </c>
      <c r="C136" s="15">
        <v>45624</v>
      </c>
      <c r="D136" s="7" t="s">
        <v>61</v>
      </c>
      <c r="E136" s="7" t="s">
        <v>81</v>
      </c>
      <c r="F136" s="8">
        <v>4213</v>
      </c>
      <c r="G136" s="8">
        <v>253</v>
      </c>
      <c r="H136" s="8">
        <v>434</v>
      </c>
      <c r="I136" s="8">
        <v>75834</v>
      </c>
      <c r="J136" s="8">
        <v>75437</v>
      </c>
      <c r="K136" s="8">
        <v>272</v>
      </c>
      <c r="L136" s="16" t="s">
        <v>85</v>
      </c>
      <c r="M136" s="7" t="s">
        <v>19</v>
      </c>
    </row>
    <row r="137" spans="1:13" ht="86.95" thickBot="1" x14ac:dyDescent="0.35">
      <c r="A137" s="7" t="s">
        <v>230</v>
      </c>
      <c r="B137" s="7" t="s">
        <v>29</v>
      </c>
      <c r="C137" s="15">
        <v>45484</v>
      </c>
      <c r="D137" s="7" t="s">
        <v>61</v>
      </c>
      <c r="E137" s="7" t="s">
        <v>116</v>
      </c>
      <c r="F137" s="8">
        <v>3134</v>
      </c>
      <c r="G137" s="8">
        <v>888</v>
      </c>
      <c r="H137" s="8">
        <v>444</v>
      </c>
      <c r="I137" s="8">
        <v>21938</v>
      </c>
      <c r="J137" s="8">
        <v>21337</v>
      </c>
      <c r="K137" s="8">
        <v>130</v>
      </c>
      <c r="L137" s="16" t="s">
        <v>70</v>
      </c>
      <c r="M137" s="7" t="s">
        <v>19</v>
      </c>
    </row>
    <row r="138" spans="1:13" ht="86.95" thickBot="1" x14ac:dyDescent="0.35">
      <c r="A138" s="7" t="s">
        <v>231</v>
      </c>
      <c r="B138" s="7" t="s">
        <v>30</v>
      </c>
      <c r="C138" s="15">
        <v>45504</v>
      </c>
      <c r="D138" s="7" t="s">
        <v>93</v>
      </c>
      <c r="E138" s="7" t="s">
        <v>94</v>
      </c>
      <c r="F138" s="8">
        <v>3008</v>
      </c>
      <c r="G138" s="8">
        <v>94</v>
      </c>
      <c r="H138" s="8">
        <v>37</v>
      </c>
      <c r="I138" s="8">
        <v>15040</v>
      </c>
      <c r="J138" s="8">
        <v>14639</v>
      </c>
      <c r="K138" s="8">
        <v>277</v>
      </c>
      <c r="L138" s="16" t="s">
        <v>85</v>
      </c>
      <c r="M138" s="7"/>
    </row>
    <row r="139" spans="1:13" ht="72.55" thickBot="1" x14ac:dyDescent="0.35">
      <c r="A139" s="7" t="s">
        <v>232</v>
      </c>
      <c r="B139" s="7" t="s">
        <v>32</v>
      </c>
      <c r="C139" s="15">
        <v>45745</v>
      </c>
      <c r="D139" s="7" t="s">
        <v>78</v>
      </c>
      <c r="E139" s="7" t="s">
        <v>126</v>
      </c>
      <c r="F139" s="8">
        <v>305</v>
      </c>
      <c r="G139" s="8">
        <v>187</v>
      </c>
      <c r="H139" s="8">
        <v>243</v>
      </c>
      <c r="I139" s="8">
        <v>4575</v>
      </c>
      <c r="J139" s="8">
        <v>3704</v>
      </c>
      <c r="K139" s="8">
        <v>234</v>
      </c>
      <c r="L139" s="16" t="s">
        <v>85</v>
      </c>
      <c r="M139" s="7" t="s">
        <v>15</v>
      </c>
    </row>
    <row r="140" spans="1:13" ht="72.55" thickBot="1" x14ac:dyDescent="0.35">
      <c r="A140" s="7" t="s">
        <v>233</v>
      </c>
      <c r="B140" s="7" t="s">
        <v>31</v>
      </c>
      <c r="C140" s="15">
        <v>45594</v>
      </c>
      <c r="D140" s="7" t="s">
        <v>61</v>
      </c>
      <c r="E140" s="7" t="s">
        <v>111</v>
      </c>
      <c r="F140" s="8">
        <v>2746</v>
      </c>
      <c r="G140" s="8">
        <v>156</v>
      </c>
      <c r="H140" s="8">
        <v>203</v>
      </c>
      <c r="I140" s="8">
        <v>32952</v>
      </c>
      <c r="J140" s="8">
        <v>32147</v>
      </c>
      <c r="K140" s="8">
        <v>147</v>
      </c>
      <c r="L140" s="16" t="s">
        <v>70</v>
      </c>
      <c r="M140" s="7" t="s">
        <v>7</v>
      </c>
    </row>
    <row r="141" spans="1:13" ht="86.95" thickBot="1" x14ac:dyDescent="0.35">
      <c r="A141" s="7" t="s">
        <v>234</v>
      </c>
      <c r="B141" s="7" t="s">
        <v>30</v>
      </c>
      <c r="C141" s="15">
        <v>45488</v>
      </c>
      <c r="D141" s="7" t="s">
        <v>78</v>
      </c>
      <c r="E141" s="7" t="s">
        <v>83</v>
      </c>
      <c r="F141" s="8">
        <v>2291</v>
      </c>
      <c r="G141" s="8">
        <v>78</v>
      </c>
      <c r="H141" s="8">
        <v>485</v>
      </c>
      <c r="I141" s="8">
        <v>18328</v>
      </c>
      <c r="J141" s="8">
        <v>18101</v>
      </c>
      <c r="K141" s="8">
        <v>10</v>
      </c>
      <c r="L141" s="16" t="s">
        <v>235</v>
      </c>
      <c r="M141" s="7" t="s">
        <v>11</v>
      </c>
    </row>
    <row r="142" spans="1:13" ht="72.55" thickBot="1" x14ac:dyDescent="0.35">
      <c r="A142" s="7" t="s">
        <v>236</v>
      </c>
      <c r="B142" s="7" t="s">
        <v>32</v>
      </c>
      <c r="C142" s="15">
        <v>45535</v>
      </c>
      <c r="D142" s="7" t="s">
        <v>78</v>
      </c>
      <c r="E142" s="7" t="s">
        <v>126</v>
      </c>
      <c r="F142" s="8">
        <v>3170</v>
      </c>
      <c r="G142" s="8">
        <v>857</v>
      </c>
      <c r="H142" s="8">
        <v>379</v>
      </c>
      <c r="I142" s="8">
        <v>19020</v>
      </c>
      <c r="J142" s="8">
        <v>18559</v>
      </c>
      <c r="K142" s="8">
        <v>240</v>
      </c>
      <c r="L142" s="16" t="s">
        <v>85</v>
      </c>
      <c r="M142" s="7"/>
    </row>
    <row r="143" spans="1:13" ht="72.55" thickBot="1" x14ac:dyDescent="0.35">
      <c r="A143" s="7" t="s">
        <v>237</v>
      </c>
      <c r="B143" s="7" t="s">
        <v>31</v>
      </c>
      <c r="C143" s="15">
        <v>45741</v>
      </c>
      <c r="D143" s="7" t="s">
        <v>68</v>
      </c>
      <c r="E143" s="7" t="s">
        <v>139</v>
      </c>
      <c r="F143" s="8">
        <v>2070</v>
      </c>
      <c r="G143" s="8">
        <v>275</v>
      </c>
      <c r="H143" s="8">
        <v>386</v>
      </c>
      <c r="I143" s="8">
        <v>39330</v>
      </c>
      <c r="J143" s="8">
        <v>38627</v>
      </c>
      <c r="K143" s="8">
        <v>114</v>
      </c>
      <c r="L143" s="16" t="s">
        <v>85</v>
      </c>
      <c r="M143" s="7" t="s">
        <v>19</v>
      </c>
    </row>
    <row r="144" spans="1:13" ht="86.95" thickBot="1" x14ac:dyDescent="0.35">
      <c r="A144" s="7" t="s">
        <v>238</v>
      </c>
      <c r="B144" s="7" t="s">
        <v>31</v>
      </c>
      <c r="C144" s="15">
        <v>45567</v>
      </c>
      <c r="D144" s="7" t="s">
        <v>73</v>
      </c>
      <c r="E144" s="7" t="s">
        <v>89</v>
      </c>
      <c r="F144" s="8">
        <v>80</v>
      </c>
      <c r="G144" s="8">
        <v>362</v>
      </c>
      <c r="H144" s="8">
        <v>80</v>
      </c>
      <c r="I144" s="8">
        <v>1040</v>
      </c>
      <c r="J144" s="8">
        <v>349</v>
      </c>
      <c r="K144" s="8">
        <v>117</v>
      </c>
      <c r="L144" s="16" t="s">
        <v>66</v>
      </c>
      <c r="M144" s="7" t="s">
        <v>15</v>
      </c>
    </row>
    <row r="145" spans="1:13" ht="72.55" thickBot="1" x14ac:dyDescent="0.35">
      <c r="A145" s="7" t="s">
        <v>239</v>
      </c>
      <c r="B145" s="7" t="s">
        <v>31</v>
      </c>
      <c r="C145" s="15">
        <v>45593</v>
      </c>
      <c r="D145" s="7" t="s">
        <v>68</v>
      </c>
      <c r="E145" s="7" t="s">
        <v>139</v>
      </c>
      <c r="F145" s="8">
        <v>4929</v>
      </c>
      <c r="G145" s="8">
        <v>749</v>
      </c>
      <c r="H145" s="8">
        <v>452</v>
      </c>
      <c r="I145" s="8">
        <v>93651</v>
      </c>
      <c r="J145" s="8">
        <v>92810</v>
      </c>
      <c r="K145" s="8">
        <v>66</v>
      </c>
      <c r="L145" s="16" t="s">
        <v>70</v>
      </c>
      <c r="M145" s="7" t="s">
        <v>19</v>
      </c>
    </row>
    <row r="146" spans="1:13" ht="101.35" thickBot="1" x14ac:dyDescent="0.35">
      <c r="A146" s="7" t="s">
        <v>240</v>
      </c>
      <c r="B146" s="7" t="s">
        <v>29</v>
      </c>
      <c r="C146" s="15">
        <v>45516</v>
      </c>
      <c r="D146" s="7" t="s">
        <v>73</v>
      </c>
      <c r="E146" s="7" t="s">
        <v>102</v>
      </c>
      <c r="F146" s="8">
        <v>1878</v>
      </c>
      <c r="G146" s="8">
        <v>62</v>
      </c>
      <c r="H146" s="8">
        <v>179</v>
      </c>
      <c r="I146" s="8">
        <v>37560</v>
      </c>
      <c r="J146" s="8">
        <v>36874</v>
      </c>
      <c r="K146" s="8">
        <v>142</v>
      </c>
      <c r="L146" s="16" t="s">
        <v>66</v>
      </c>
      <c r="M146" s="7" t="s">
        <v>19</v>
      </c>
    </row>
    <row r="147" spans="1:13" ht="72.55" thickBot="1" x14ac:dyDescent="0.35">
      <c r="A147" s="7" t="s">
        <v>241</v>
      </c>
      <c r="B147" s="7" t="s">
        <v>31</v>
      </c>
      <c r="C147" s="15">
        <v>45448</v>
      </c>
      <c r="D147" s="7" t="s">
        <v>57</v>
      </c>
      <c r="E147" s="7" t="s">
        <v>65</v>
      </c>
      <c r="F147" s="8">
        <v>3065</v>
      </c>
      <c r="G147" s="8">
        <v>772</v>
      </c>
      <c r="H147" s="8">
        <v>142</v>
      </c>
      <c r="I147" s="8">
        <v>18390</v>
      </c>
      <c r="J147" s="8">
        <v>17875</v>
      </c>
      <c r="K147" s="8">
        <v>200</v>
      </c>
      <c r="L147" s="17" t="s">
        <v>242</v>
      </c>
      <c r="M147" s="7"/>
    </row>
    <row r="148" spans="1:13" ht="86.95" thickBot="1" x14ac:dyDescent="0.35">
      <c r="A148" s="7" t="s">
        <v>243</v>
      </c>
      <c r="B148" s="7" t="s">
        <v>29</v>
      </c>
      <c r="C148" s="15">
        <v>45586</v>
      </c>
      <c r="D148" s="7" t="s">
        <v>57</v>
      </c>
      <c r="E148" s="7" t="s">
        <v>98</v>
      </c>
      <c r="F148" s="8">
        <v>3256</v>
      </c>
      <c r="G148" s="8">
        <v>459</v>
      </c>
      <c r="H148" s="8">
        <v>266</v>
      </c>
      <c r="I148" s="8">
        <v>26048</v>
      </c>
      <c r="J148" s="8">
        <v>25529</v>
      </c>
      <c r="K148" s="8">
        <v>143</v>
      </c>
      <c r="L148" s="16" t="s">
        <v>66</v>
      </c>
      <c r="M148" s="7" t="s">
        <v>11</v>
      </c>
    </row>
    <row r="149" spans="1:13" ht="86.95" thickBot="1" x14ac:dyDescent="0.35">
      <c r="A149" s="7" t="s">
        <v>244</v>
      </c>
      <c r="B149" s="7" t="s">
        <v>29</v>
      </c>
      <c r="C149" s="15">
        <v>45762</v>
      </c>
      <c r="D149" s="7" t="s">
        <v>93</v>
      </c>
      <c r="E149" s="7" t="s">
        <v>100</v>
      </c>
      <c r="F149" s="8">
        <v>4133</v>
      </c>
      <c r="G149" s="8">
        <v>466</v>
      </c>
      <c r="H149" s="8">
        <v>327</v>
      </c>
      <c r="I149" s="8">
        <v>24798</v>
      </c>
      <c r="J149" s="8">
        <v>24620</v>
      </c>
      <c r="K149" s="8">
        <v>176</v>
      </c>
      <c r="L149" s="16" t="s">
        <v>70</v>
      </c>
      <c r="M149" s="7" t="s">
        <v>19</v>
      </c>
    </row>
    <row r="150" spans="1:13" ht="72.55" thickBot="1" x14ac:dyDescent="0.35">
      <c r="A150" s="7" t="s">
        <v>245</v>
      </c>
      <c r="B150" s="7" t="s">
        <v>32</v>
      </c>
      <c r="C150" s="15">
        <v>45459</v>
      </c>
      <c r="D150" s="7" t="s">
        <v>93</v>
      </c>
      <c r="E150" s="7" t="s">
        <v>133</v>
      </c>
      <c r="F150" s="8">
        <v>1702</v>
      </c>
      <c r="G150" s="8">
        <v>750</v>
      </c>
      <c r="H150" s="8">
        <v>179</v>
      </c>
      <c r="I150" s="8">
        <v>34040</v>
      </c>
      <c r="J150" s="8">
        <v>33174</v>
      </c>
      <c r="K150" s="8">
        <v>76</v>
      </c>
      <c r="L150" s="16" t="s">
        <v>70</v>
      </c>
      <c r="M150" s="7" t="s">
        <v>7</v>
      </c>
    </row>
    <row r="151" spans="1:13" ht="86.95" thickBot="1" x14ac:dyDescent="0.35">
      <c r="A151" s="7" t="s">
        <v>246</v>
      </c>
      <c r="B151" s="7" t="s">
        <v>31</v>
      </c>
      <c r="C151" s="15">
        <v>45526</v>
      </c>
      <c r="D151" s="7" t="s">
        <v>73</v>
      </c>
      <c r="E151" s="7" t="s">
        <v>89</v>
      </c>
      <c r="F151" s="8">
        <v>4295</v>
      </c>
      <c r="G151" s="8">
        <v>853</v>
      </c>
      <c r="H151" s="8">
        <v>325</v>
      </c>
      <c r="I151" s="8">
        <v>85900</v>
      </c>
      <c r="J151" s="8">
        <v>85788</v>
      </c>
      <c r="K151" s="8">
        <v>290</v>
      </c>
      <c r="L151" s="16" t="s">
        <v>66</v>
      </c>
      <c r="M151" s="7" t="s">
        <v>19</v>
      </c>
    </row>
    <row r="152" spans="1:13" ht="86.95" thickBot="1" x14ac:dyDescent="0.35">
      <c r="A152" s="7" t="s">
        <v>247</v>
      </c>
      <c r="B152" s="7" t="s">
        <v>29</v>
      </c>
      <c r="C152" s="15">
        <v>45499</v>
      </c>
      <c r="D152" s="7" t="s">
        <v>78</v>
      </c>
      <c r="E152" s="7" t="s">
        <v>174</v>
      </c>
      <c r="F152" s="8">
        <v>3559</v>
      </c>
      <c r="G152" s="8">
        <v>59</v>
      </c>
      <c r="H152" s="8">
        <v>289</v>
      </c>
      <c r="I152" s="8">
        <v>35590</v>
      </c>
      <c r="J152" s="8">
        <v>35105</v>
      </c>
      <c r="K152" s="8">
        <v>122</v>
      </c>
      <c r="L152" s="16" t="s">
        <v>70</v>
      </c>
      <c r="M152" s="7" t="s">
        <v>7</v>
      </c>
    </row>
    <row r="153" spans="1:13" ht="86.95" thickBot="1" x14ac:dyDescent="0.35">
      <c r="A153" s="7" t="s">
        <v>248</v>
      </c>
      <c r="B153" s="7" t="s">
        <v>30</v>
      </c>
      <c r="C153" s="15">
        <v>45769</v>
      </c>
      <c r="D153" s="7" t="s">
        <v>78</v>
      </c>
      <c r="E153" s="7" t="s">
        <v>83</v>
      </c>
      <c r="F153" s="8">
        <v>4804</v>
      </c>
      <c r="G153" s="8">
        <v>550</v>
      </c>
      <c r="H153" s="8">
        <v>270</v>
      </c>
      <c r="I153" s="8">
        <v>28824</v>
      </c>
      <c r="J153" s="8">
        <v>28370</v>
      </c>
      <c r="K153" s="8">
        <v>47</v>
      </c>
      <c r="L153" s="16" t="s">
        <v>70</v>
      </c>
      <c r="M153" s="7" t="s">
        <v>19</v>
      </c>
    </row>
    <row r="154" spans="1:13" ht="72.55" thickBot="1" x14ac:dyDescent="0.35">
      <c r="A154" s="7" t="s">
        <v>249</v>
      </c>
      <c r="B154" s="7" t="s">
        <v>32</v>
      </c>
      <c r="C154" s="15">
        <v>45658</v>
      </c>
      <c r="D154" s="7" t="s">
        <v>93</v>
      </c>
      <c r="E154" s="7" t="s">
        <v>133</v>
      </c>
      <c r="F154" s="8">
        <v>754</v>
      </c>
      <c r="G154" s="8">
        <v>197</v>
      </c>
      <c r="H154" s="8">
        <v>257</v>
      </c>
      <c r="I154" s="8">
        <v>6786</v>
      </c>
      <c r="J154" s="8">
        <v>6221</v>
      </c>
      <c r="K154" s="8">
        <v>212</v>
      </c>
      <c r="L154" s="16" t="s">
        <v>66</v>
      </c>
      <c r="M154" s="7" t="s">
        <v>15</v>
      </c>
    </row>
    <row r="155" spans="1:13" ht="101.35" thickBot="1" x14ac:dyDescent="0.35">
      <c r="A155" s="7" t="s">
        <v>250</v>
      </c>
      <c r="B155" s="7" t="s">
        <v>29</v>
      </c>
      <c r="C155" s="15">
        <v>45574</v>
      </c>
      <c r="D155" s="7" t="s">
        <v>73</v>
      </c>
      <c r="E155" s="7" t="s">
        <v>102</v>
      </c>
      <c r="F155" s="8">
        <v>985</v>
      </c>
      <c r="G155" s="8">
        <v>932</v>
      </c>
      <c r="H155" s="8">
        <v>287</v>
      </c>
      <c r="I155" s="8">
        <v>6895</v>
      </c>
      <c r="J155" s="8">
        <v>6757</v>
      </c>
      <c r="K155" s="8">
        <v>64</v>
      </c>
      <c r="L155" s="16" t="s">
        <v>85</v>
      </c>
      <c r="M155" s="7" t="s">
        <v>19</v>
      </c>
    </row>
    <row r="156" spans="1:13" ht="72.55" thickBot="1" x14ac:dyDescent="0.35">
      <c r="A156" s="7" t="s">
        <v>251</v>
      </c>
      <c r="B156" s="7" t="s">
        <v>31</v>
      </c>
      <c r="C156" s="15">
        <v>45647</v>
      </c>
      <c r="D156" s="7" t="s">
        <v>78</v>
      </c>
      <c r="E156" s="7" t="s">
        <v>79</v>
      </c>
      <c r="F156" s="8">
        <v>2283</v>
      </c>
      <c r="G156" s="8">
        <v>210</v>
      </c>
      <c r="H156" s="8">
        <v>130</v>
      </c>
      <c r="I156" s="8">
        <v>22830</v>
      </c>
      <c r="J156" s="8">
        <v>22617</v>
      </c>
      <c r="K156" s="8">
        <v>143</v>
      </c>
      <c r="L156" s="16" t="s">
        <v>85</v>
      </c>
      <c r="M156" s="7" t="s">
        <v>11</v>
      </c>
    </row>
    <row r="157" spans="1:13" ht="101.35" thickBot="1" x14ac:dyDescent="0.35">
      <c r="A157" s="7" t="s">
        <v>252</v>
      </c>
      <c r="B157" s="7" t="s">
        <v>30</v>
      </c>
      <c r="C157" s="15">
        <v>45587</v>
      </c>
      <c r="D157" s="7" t="s">
        <v>73</v>
      </c>
      <c r="E157" s="7" t="s">
        <v>74</v>
      </c>
      <c r="F157" s="8">
        <v>3352</v>
      </c>
      <c r="G157" s="8">
        <v>941</v>
      </c>
      <c r="H157" s="8">
        <v>482</v>
      </c>
      <c r="I157" s="8">
        <v>43576</v>
      </c>
      <c r="J157" s="8">
        <v>43338</v>
      </c>
      <c r="K157" s="8">
        <v>240</v>
      </c>
      <c r="L157" s="16" t="s">
        <v>85</v>
      </c>
      <c r="M157" s="7" t="s">
        <v>11</v>
      </c>
    </row>
    <row r="158" spans="1:13" ht="72.55" thickBot="1" x14ac:dyDescent="0.35">
      <c r="A158" s="7" t="s">
        <v>253</v>
      </c>
      <c r="B158" s="7" t="s">
        <v>31</v>
      </c>
      <c r="C158" s="15">
        <v>45496</v>
      </c>
      <c r="D158" s="7" t="s">
        <v>68</v>
      </c>
      <c r="E158" s="7" t="s">
        <v>139</v>
      </c>
      <c r="F158" s="8">
        <v>4775</v>
      </c>
      <c r="G158" s="8">
        <v>173</v>
      </c>
      <c r="H158" s="8">
        <v>206</v>
      </c>
      <c r="I158" s="8">
        <v>47750</v>
      </c>
      <c r="J158" s="8">
        <v>47544</v>
      </c>
      <c r="K158" s="8">
        <v>187</v>
      </c>
      <c r="L158" s="16" t="s">
        <v>85</v>
      </c>
      <c r="M158" s="7" t="s">
        <v>11</v>
      </c>
    </row>
    <row r="159" spans="1:13" ht="86.95" thickBot="1" x14ac:dyDescent="0.35">
      <c r="A159" s="7" t="s">
        <v>254</v>
      </c>
      <c r="B159" s="7" t="s">
        <v>29</v>
      </c>
      <c r="C159" s="15">
        <v>45515</v>
      </c>
      <c r="D159" s="7" t="s">
        <v>68</v>
      </c>
      <c r="E159" s="7" t="s">
        <v>69</v>
      </c>
      <c r="F159" s="8">
        <v>1762</v>
      </c>
      <c r="G159" s="8">
        <v>405</v>
      </c>
      <c r="H159" s="8">
        <v>423</v>
      </c>
      <c r="I159" s="8">
        <v>22906</v>
      </c>
      <c r="J159" s="8">
        <v>21925</v>
      </c>
      <c r="K159" s="8">
        <v>25</v>
      </c>
      <c r="L159" s="16" t="s">
        <v>66</v>
      </c>
      <c r="M159" s="7" t="s">
        <v>7</v>
      </c>
    </row>
    <row r="160" spans="1:13" ht="86.95" thickBot="1" x14ac:dyDescent="0.35">
      <c r="A160" s="7" t="s">
        <v>255</v>
      </c>
      <c r="B160" s="7" t="s">
        <v>30</v>
      </c>
      <c r="C160" s="15">
        <v>45621</v>
      </c>
      <c r="D160" s="7" t="s">
        <v>68</v>
      </c>
      <c r="E160" s="7" t="s">
        <v>91</v>
      </c>
      <c r="F160" s="8">
        <v>2120</v>
      </c>
      <c r="G160" s="8">
        <v>158</v>
      </c>
      <c r="H160" s="8">
        <v>488</v>
      </c>
      <c r="I160" s="8">
        <v>12720</v>
      </c>
      <c r="J160" s="8">
        <v>12085</v>
      </c>
      <c r="K160" s="8">
        <v>17</v>
      </c>
      <c r="L160" s="16" t="s">
        <v>85</v>
      </c>
      <c r="M160" s="7" t="s">
        <v>11</v>
      </c>
    </row>
    <row r="161" spans="1:13" ht="72.55" thickBot="1" x14ac:dyDescent="0.35">
      <c r="A161" s="7" t="s">
        <v>256</v>
      </c>
      <c r="B161" s="7" t="s">
        <v>32</v>
      </c>
      <c r="C161" s="15">
        <v>45528</v>
      </c>
      <c r="D161" s="7" t="s">
        <v>93</v>
      </c>
      <c r="E161" s="7" t="s">
        <v>133</v>
      </c>
      <c r="F161" s="8">
        <v>1082</v>
      </c>
      <c r="G161" s="8">
        <v>209</v>
      </c>
      <c r="H161" s="8">
        <v>484</v>
      </c>
      <c r="I161" s="8">
        <v>19476</v>
      </c>
      <c r="J161" s="8">
        <v>18654</v>
      </c>
      <c r="K161" s="8">
        <v>20</v>
      </c>
      <c r="L161" s="16" t="s">
        <v>66</v>
      </c>
      <c r="M161" s="7"/>
    </row>
    <row r="162" spans="1:13" ht="72.55" thickBot="1" x14ac:dyDescent="0.35">
      <c r="A162" s="7" t="s">
        <v>257</v>
      </c>
      <c r="B162" s="7" t="s">
        <v>32</v>
      </c>
      <c r="C162" s="15">
        <v>45707</v>
      </c>
      <c r="D162" s="7" t="s">
        <v>61</v>
      </c>
      <c r="E162" s="7" t="s">
        <v>62</v>
      </c>
      <c r="F162" s="8">
        <v>4671</v>
      </c>
      <c r="G162" s="8">
        <v>876</v>
      </c>
      <c r="H162" s="8">
        <v>366</v>
      </c>
      <c r="I162" s="8">
        <v>51381</v>
      </c>
      <c r="J162" s="8">
        <v>50565</v>
      </c>
      <c r="K162" s="8">
        <v>245</v>
      </c>
      <c r="L162" s="16" t="s">
        <v>66</v>
      </c>
      <c r="M162" s="7" t="s">
        <v>19</v>
      </c>
    </row>
    <row r="163" spans="1:13" ht="86.95" thickBot="1" x14ac:dyDescent="0.35">
      <c r="A163" s="7" t="s">
        <v>258</v>
      </c>
      <c r="B163" s="7" t="s">
        <v>30</v>
      </c>
      <c r="C163" s="15">
        <v>45748</v>
      </c>
      <c r="D163" s="7" t="s">
        <v>68</v>
      </c>
      <c r="E163" s="7" t="s">
        <v>91</v>
      </c>
      <c r="F163" s="8">
        <v>3430</v>
      </c>
      <c r="G163" s="8">
        <v>566</v>
      </c>
      <c r="H163" s="8">
        <v>164</v>
      </c>
      <c r="I163" s="8">
        <v>48020</v>
      </c>
      <c r="J163" s="8">
        <v>47305</v>
      </c>
      <c r="K163" s="8">
        <v>120</v>
      </c>
      <c r="L163" s="16" t="s">
        <v>85</v>
      </c>
      <c r="M163" s="7"/>
    </row>
    <row r="164" spans="1:13" ht="86.95" thickBot="1" x14ac:dyDescent="0.35">
      <c r="A164" s="7" t="s">
        <v>259</v>
      </c>
      <c r="B164" s="7" t="s">
        <v>29</v>
      </c>
      <c r="C164" s="15">
        <v>45755</v>
      </c>
      <c r="D164" s="7" t="s">
        <v>78</v>
      </c>
      <c r="E164" s="7" t="s">
        <v>174</v>
      </c>
      <c r="F164" s="8">
        <v>4501</v>
      </c>
      <c r="G164" s="8">
        <v>375</v>
      </c>
      <c r="H164" s="8">
        <v>323</v>
      </c>
      <c r="I164" s="8">
        <v>22505</v>
      </c>
      <c r="J164" s="8">
        <v>21836</v>
      </c>
      <c r="K164" s="8">
        <v>132</v>
      </c>
      <c r="L164" s="16" t="s">
        <v>66</v>
      </c>
      <c r="M164" s="7" t="s">
        <v>11</v>
      </c>
    </row>
    <row r="165" spans="1:13" ht="72.55" thickBot="1" x14ac:dyDescent="0.35">
      <c r="A165" s="7" t="s">
        <v>260</v>
      </c>
      <c r="B165" s="7" t="s">
        <v>31</v>
      </c>
      <c r="C165" s="15">
        <v>45715</v>
      </c>
      <c r="D165" s="7" t="s">
        <v>61</v>
      </c>
      <c r="E165" s="7" t="s">
        <v>111</v>
      </c>
      <c r="F165" s="8">
        <v>4934</v>
      </c>
      <c r="G165" s="8">
        <v>971</v>
      </c>
      <c r="H165" s="8">
        <v>156</v>
      </c>
      <c r="I165" s="8">
        <v>39472</v>
      </c>
      <c r="J165" s="8">
        <v>39025</v>
      </c>
      <c r="K165" s="8">
        <v>169</v>
      </c>
      <c r="L165" s="16" t="s">
        <v>106</v>
      </c>
      <c r="M165" s="7" t="s">
        <v>19</v>
      </c>
    </row>
    <row r="166" spans="1:13" ht="72.55" thickBot="1" x14ac:dyDescent="0.35">
      <c r="A166" s="7" t="s">
        <v>261</v>
      </c>
      <c r="B166" s="7" t="s">
        <v>32</v>
      </c>
      <c r="C166" s="15">
        <v>45637</v>
      </c>
      <c r="D166" s="7" t="s">
        <v>61</v>
      </c>
      <c r="E166" s="7" t="s">
        <v>62</v>
      </c>
      <c r="F166" s="8">
        <v>3239</v>
      </c>
      <c r="G166" s="8">
        <v>43</v>
      </c>
      <c r="H166" s="8">
        <v>211</v>
      </c>
      <c r="I166" s="8">
        <v>22673</v>
      </c>
      <c r="J166" s="8">
        <v>22171</v>
      </c>
      <c r="K166" s="8">
        <v>230</v>
      </c>
      <c r="L166" s="16" t="s">
        <v>66</v>
      </c>
      <c r="M166" s="7" t="s">
        <v>11</v>
      </c>
    </row>
    <row r="167" spans="1:13" ht="72.55" thickBot="1" x14ac:dyDescent="0.35">
      <c r="A167" s="7" t="s">
        <v>262</v>
      </c>
      <c r="B167" s="7" t="s">
        <v>32</v>
      </c>
      <c r="C167" s="15">
        <v>45704</v>
      </c>
      <c r="D167" s="7" t="s">
        <v>57</v>
      </c>
      <c r="E167" s="7" t="s">
        <v>58</v>
      </c>
      <c r="F167" s="8">
        <v>1076</v>
      </c>
      <c r="G167" s="8">
        <v>313</v>
      </c>
      <c r="H167" s="8">
        <v>306</v>
      </c>
      <c r="I167" s="8">
        <v>11836</v>
      </c>
      <c r="J167" s="8">
        <v>11596</v>
      </c>
      <c r="K167" s="8">
        <v>104</v>
      </c>
      <c r="L167" s="16" t="s">
        <v>85</v>
      </c>
      <c r="M167" s="7" t="s">
        <v>7</v>
      </c>
    </row>
    <row r="168" spans="1:13" ht="86.95" thickBot="1" x14ac:dyDescent="0.35">
      <c r="A168" s="7" t="s">
        <v>263</v>
      </c>
      <c r="B168" s="7" t="s">
        <v>29</v>
      </c>
      <c r="C168" s="15">
        <v>45624</v>
      </c>
      <c r="D168" s="7" t="s">
        <v>61</v>
      </c>
      <c r="E168" s="7" t="s">
        <v>116</v>
      </c>
      <c r="F168" s="8">
        <v>4771</v>
      </c>
      <c r="G168" s="8">
        <v>818</v>
      </c>
      <c r="H168" s="8">
        <v>56</v>
      </c>
      <c r="I168" s="8">
        <v>57252</v>
      </c>
      <c r="J168" s="8">
        <v>56378</v>
      </c>
      <c r="K168" s="8">
        <v>150</v>
      </c>
      <c r="L168" s="16" t="s">
        <v>85</v>
      </c>
      <c r="M168" s="7"/>
    </row>
    <row r="169" spans="1:13" ht="86.95" thickBot="1" x14ac:dyDescent="0.35">
      <c r="A169" s="7" t="s">
        <v>264</v>
      </c>
      <c r="B169" s="7" t="s">
        <v>30</v>
      </c>
      <c r="C169" s="15">
        <v>45608</v>
      </c>
      <c r="D169" s="7" t="s">
        <v>61</v>
      </c>
      <c r="E169" s="7" t="s">
        <v>81</v>
      </c>
      <c r="F169" s="8">
        <v>2418</v>
      </c>
      <c r="G169" s="8">
        <v>754</v>
      </c>
      <c r="H169" s="8">
        <v>54</v>
      </c>
      <c r="I169" s="8">
        <v>43524</v>
      </c>
      <c r="J169" s="8">
        <v>42743</v>
      </c>
      <c r="K169" s="8">
        <v>182</v>
      </c>
      <c r="L169" s="16" t="s">
        <v>70</v>
      </c>
      <c r="M169" s="7" t="s">
        <v>7</v>
      </c>
    </row>
    <row r="170" spans="1:13" ht="72.55" thickBot="1" x14ac:dyDescent="0.35">
      <c r="A170" s="7" t="s">
        <v>265</v>
      </c>
      <c r="B170" s="7" t="s">
        <v>31</v>
      </c>
      <c r="C170" s="15">
        <v>45629</v>
      </c>
      <c r="D170" s="7" t="s">
        <v>93</v>
      </c>
      <c r="E170" s="7" t="s">
        <v>177</v>
      </c>
      <c r="F170" s="8">
        <v>3809</v>
      </c>
      <c r="G170" s="8">
        <v>273</v>
      </c>
      <c r="H170" s="8">
        <v>200</v>
      </c>
      <c r="I170" s="8">
        <v>34281</v>
      </c>
      <c r="J170" s="8">
        <v>33534</v>
      </c>
      <c r="K170" s="8">
        <v>83</v>
      </c>
      <c r="L170" s="16" t="s">
        <v>70</v>
      </c>
      <c r="M170" s="7" t="s">
        <v>7</v>
      </c>
    </row>
    <row r="171" spans="1:13" ht="72.55" thickBot="1" x14ac:dyDescent="0.35">
      <c r="A171" s="7" t="s">
        <v>266</v>
      </c>
      <c r="B171" s="7" t="s">
        <v>32</v>
      </c>
      <c r="C171" s="15">
        <v>45775</v>
      </c>
      <c r="D171" s="7" t="s">
        <v>61</v>
      </c>
      <c r="E171" s="7" t="s">
        <v>62</v>
      </c>
      <c r="F171" s="8">
        <v>3577</v>
      </c>
      <c r="G171" s="8">
        <v>596</v>
      </c>
      <c r="H171" s="8">
        <v>493</v>
      </c>
      <c r="I171" s="8">
        <v>67963</v>
      </c>
      <c r="J171" s="8">
        <v>67839</v>
      </c>
      <c r="K171" s="8">
        <v>53</v>
      </c>
      <c r="L171" s="16" t="s">
        <v>66</v>
      </c>
      <c r="M171" s="7" t="s">
        <v>15</v>
      </c>
    </row>
    <row r="172" spans="1:13" ht="72.55" thickBot="1" x14ac:dyDescent="0.35">
      <c r="A172" s="7" t="s">
        <v>267</v>
      </c>
      <c r="B172" s="7" t="s">
        <v>31</v>
      </c>
      <c r="C172" s="15">
        <v>45657</v>
      </c>
      <c r="D172" s="7" t="s">
        <v>93</v>
      </c>
      <c r="E172" s="7" t="s">
        <v>177</v>
      </c>
      <c r="F172" s="8">
        <v>1018</v>
      </c>
      <c r="G172" s="8">
        <v>447</v>
      </c>
      <c r="H172" s="8">
        <v>332</v>
      </c>
      <c r="I172" s="8">
        <v>18324</v>
      </c>
      <c r="J172" s="8">
        <v>18164</v>
      </c>
      <c r="K172" s="8">
        <v>38</v>
      </c>
      <c r="L172" s="16" t="s">
        <v>85</v>
      </c>
      <c r="M172" s="7" t="s">
        <v>11</v>
      </c>
    </row>
    <row r="173" spans="1:13" ht="101.35" thickBot="1" x14ac:dyDescent="0.35">
      <c r="A173" s="7" t="s">
        <v>268</v>
      </c>
      <c r="B173" s="7" t="s">
        <v>30</v>
      </c>
      <c r="C173" s="15">
        <v>45518</v>
      </c>
      <c r="D173" s="7" t="s">
        <v>73</v>
      </c>
      <c r="E173" s="7" t="s">
        <v>74</v>
      </c>
      <c r="F173" s="8">
        <v>3073</v>
      </c>
      <c r="G173" s="8">
        <v>553</v>
      </c>
      <c r="H173" s="8">
        <v>174</v>
      </c>
      <c r="I173" s="8">
        <v>52241</v>
      </c>
      <c r="J173" s="8">
        <v>51605</v>
      </c>
      <c r="K173" s="8">
        <v>246</v>
      </c>
      <c r="L173" s="16" t="s">
        <v>70</v>
      </c>
      <c r="M173" s="7" t="s">
        <v>15</v>
      </c>
    </row>
    <row r="174" spans="1:13" ht="72.55" thickBot="1" x14ac:dyDescent="0.35">
      <c r="A174" s="7" t="s">
        <v>269</v>
      </c>
      <c r="B174" s="7" t="s">
        <v>32</v>
      </c>
      <c r="C174" s="15">
        <v>45631</v>
      </c>
      <c r="D174" s="7" t="s">
        <v>93</v>
      </c>
      <c r="E174" s="7" t="s">
        <v>133</v>
      </c>
      <c r="F174" s="8">
        <v>1330</v>
      </c>
      <c r="G174" s="8">
        <v>925</v>
      </c>
      <c r="H174" s="8">
        <v>35</v>
      </c>
      <c r="I174" s="8">
        <v>15960</v>
      </c>
      <c r="J174" s="8">
        <v>15379</v>
      </c>
      <c r="K174" s="8">
        <v>229</v>
      </c>
      <c r="L174" s="16" t="s">
        <v>85</v>
      </c>
      <c r="M174" s="7" t="s">
        <v>15</v>
      </c>
    </row>
    <row r="175" spans="1:13" ht="86.95" thickBot="1" x14ac:dyDescent="0.35">
      <c r="A175" s="7" t="s">
        <v>270</v>
      </c>
      <c r="B175" s="7" t="s">
        <v>30</v>
      </c>
      <c r="C175" s="15">
        <v>45465</v>
      </c>
      <c r="D175" s="7" t="s">
        <v>61</v>
      </c>
      <c r="E175" s="7" t="s">
        <v>81</v>
      </c>
      <c r="F175" s="8">
        <v>3828</v>
      </c>
      <c r="G175" s="8">
        <v>148</v>
      </c>
      <c r="H175" s="8">
        <v>253</v>
      </c>
      <c r="I175" s="8">
        <v>30624</v>
      </c>
      <c r="J175" s="8">
        <v>30229</v>
      </c>
      <c r="K175" s="8">
        <v>235</v>
      </c>
      <c r="L175" s="16" t="s">
        <v>70</v>
      </c>
      <c r="M175" s="7"/>
    </row>
    <row r="176" spans="1:13" ht="86.95" thickBot="1" x14ac:dyDescent="0.35">
      <c r="A176" s="7" t="s">
        <v>271</v>
      </c>
      <c r="B176" s="7" t="s">
        <v>29</v>
      </c>
      <c r="C176" s="15">
        <v>45674</v>
      </c>
      <c r="D176" s="7" t="s">
        <v>57</v>
      </c>
      <c r="E176" s="7" t="s">
        <v>98</v>
      </c>
      <c r="F176" s="8">
        <v>142</v>
      </c>
      <c r="G176" s="8">
        <v>784</v>
      </c>
      <c r="H176" s="8">
        <v>183</v>
      </c>
      <c r="I176" s="8">
        <v>1704</v>
      </c>
      <c r="J176" s="8">
        <v>995</v>
      </c>
      <c r="K176" s="8">
        <v>154</v>
      </c>
      <c r="L176" s="16" t="s">
        <v>85</v>
      </c>
      <c r="M176" s="7" t="s">
        <v>19</v>
      </c>
    </row>
    <row r="177" spans="1:13" ht="86.95" thickBot="1" x14ac:dyDescent="0.35">
      <c r="A177" s="7" t="s">
        <v>272</v>
      </c>
      <c r="B177" s="7" t="s">
        <v>30</v>
      </c>
      <c r="C177" s="15">
        <v>45463</v>
      </c>
      <c r="D177" s="7" t="s">
        <v>93</v>
      </c>
      <c r="E177" s="7" t="s">
        <v>94</v>
      </c>
      <c r="F177" s="8">
        <v>3798</v>
      </c>
      <c r="G177" s="8">
        <v>31</v>
      </c>
      <c r="H177" s="8">
        <v>279</v>
      </c>
      <c r="I177" s="8">
        <v>75960</v>
      </c>
      <c r="J177" s="8">
        <v>75813</v>
      </c>
      <c r="K177" s="8">
        <v>266</v>
      </c>
      <c r="L177" s="16" t="s">
        <v>66</v>
      </c>
      <c r="M177" s="7" t="s">
        <v>7</v>
      </c>
    </row>
    <row r="178" spans="1:13" ht="101.35" thickBot="1" x14ac:dyDescent="0.35">
      <c r="A178" s="7" t="s">
        <v>273</v>
      </c>
      <c r="B178" s="7" t="s">
        <v>29</v>
      </c>
      <c r="C178" s="15">
        <v>45483</v>
      </c>
      <c r="D178" s="7" t="s">
        <v>73</v>
      </c>
      <c r="E178" s="7" t="s">
        <v>102</v>
      </c>
      <c r="F178" s="8">
        <v>3099</v>
      </c>
      <c r="G178" s="8">
        <v>694</v>
      </c>
      <c r="H178" s="8">
        <v>171</v>
      </c>
      <c r="I178" s="8">
        <v>43386</v>
      </c>
      <c r="J178" s="8">
        <v>42921</v>
      </c>
      <c r="K178" s="8">
        <v>52</v>
      </c>
      <c r="L178" s="16" t="s">
        <v>66</v>
      </c>
      <c r="M178" s="7" t="s">
        <v>15</v>
      </c>
    </row>
    <row r="179" spans="1:13" ht="86.95" thickBot="1" x14ac:dyDescent="0.35">
      <c r="A179" s="7" t="s">
        <v>274</v>
      </c>
      <c r="B179" s="7" t="s">
        <v>29</v>
      </c>
      <c r="C179" s="15">
        <v>45603</v>
      </c>
      <c r="D179" s="7" t="s">
        <v>93</v>
      </c>
      <c r="E179" s="7" t="s">
        <v>100</v>
      </c>
      <c r="F179" s="8">
        <v>129</v>
      </c>
      <c r="G179" s="8">
        <v>643</v>
      </c>
      <c r="H179" s="8">
        <v>136</v>
      </c>
      <c r="I179" s="8">
        <v>1290</v>
      </c>
      <c r="J179" s="8">
        <v>839</v>
      </c>
      <c r="K179" s="8">
        <v>238</v>
      </c>
      <c r="L179" s="16" t="s">
        <v>66</v>
      </c>
      <c r="M179" s="7" t="s">
        <v>19</v>
      </c>
    </row>
    <row r="180" spans="1:13" ht="101.35" thickBot="1" x14ac:dyDescent="0.35">
      <c r="A180" s="7" t="s">
        <v>275</v>
      </c>
      <c r="B180" s="7" t="s">
        <v>30</v>
      </c>
      <c r="C180" s="15">
        <v>45488</v>
      </c>
      <c r="D180" s="7" t="s">
        <v>73</v>
      </c>
      <c r="E180" s="7" t="s">
        <v>74</v>
      </c>
      <c r="F180" s="8">
        <v>3796</v>
      </c>
      <c r="G180" s="8">
        <v>667</v>
      </c>
      <c r="H180" s="8">
        <v>395</v>
      </c>
      <c r="I180" s="8">
        <v>64532</v>
      </c>
      <c r="J180" s="8">
        <v>63550</v>
      </c>
      <c r="K180" s="8">
        <v>292</v>
      </c>
      <c r="L180" s="16" t="s">
        <v>66</v>
      </c>
      <c r="M180" s="7"/>
    </row>
    <row r="181" spans="1:13" ht="72.55" thickBot="1" x14ac:dyDescent="0.35">
      <c r="A181" s="7" t="s">
        <v>276</v>
      </c>
      <c r="B181" s="7" t="s">
        <v>31</v>
      </c>
      <c r="C181" s="15">
        <v>45629</v>
      </c>
      <c r="D181" s="7" t="s">
        <v>61</v>
      </c>
      <c r="E181" s="7" t="s">
        <v>111</v>
      </c>
      <c r="F181" s="8">
        <v>3711</v>
      </c>
      <c r="G181" s="8">
        <v>352</v>
      </c>
      <c r="H181" s="8">
        <v>290</v>
      </c>
      <c r="I181" s="8">
        <v>48243</v>
      </c>
      <c r="J181" s="8">
        <v>47579</v>
      </c>
      <c r="K181" s="8">
        <v>11</v>
      </c>
      <c r="L181" s="16" t="s">
        <v>66</v>
      </c>
      <c r="M181" s="7" t="s">
        <v>7</v>
      </c>
    </row>
    <row r="182" spans="1:13" ht="72.55" thickBot="1" x14ac:dyDescent="0.35">
      <c r="A182" s="7" t="s">
        <v>277</v>
      </c>
      <c r="B182" s="7" t="s">
        <v>31</v>
      </c>
      <c r="C182" s="15">
        <v>45737</v>
      </c>
      <c r="D182" s="7" t="s">
        <v>78</v>
      </c>
      <c r="E182" s="7" t="s">
        <v>79</v>
      </c>
      <c r="F182" s="8">
        <v>606</v>
      </c>
      <c r="G182" s="8">
        <v>789</v>
      </c>
      <c r="H182" s="8">
        <v>470</v>
      </c>
      <c r="I182" s="8">
        <v>7878</v>
      </c>
      <c r="J182" s="8">
        <v>7389</v>
      </c>
      <c r="K182" s="8">
        <v>239</v>
      </c>
      <c r="L182" s="16" t="s">
        <v>70</v>
      </c>
      <c r="M182" s="7" t="s">
        <v>15</v>
      </c>
    </row>
    <row r="183" spans="1:13" ht="86.95" thickBot="1" x14ac:dyDescent="0.35">
      <c r="A183" s="7" t="s">
        <v>278</v>
      </c>
      <c r="B183" s="7" t="s">
        <v>30</v>
      </c>
      <c r="C183" s="15">
        <v>45504</v>
      </c>
      <c r="D183" s="7" t="s">
        <v>78</v>
      </c>
      <c r="E183" s="7" t="s">
        <v>83</v>
      </c>
      <c r="F183" s="8">
        <v>4689</v>
      </c>
      <c r="G183" s="8">
        <v>134</v>
      </c>
      <c r="H183" s="8">
        <v>403</v>
      </c>
      <c r="I183" s="8">
        <v>51579</v>
      </c>
      <c r="J183" s="8">
        <v>50924</v>
      </c>
      <c r="K183" s="8">
        <v>173</v>
      </c>
      <c r="L183" s="16" t="s">
        <v>66</v>
      </c>
      <c r="M183" s="7" t="s">
        <v>19</v>
      </c>
    </row>
    <row r="184" spans="1:13" ht="86.95" thickBot="1" x14ac:dyDescent="0.35">
      <c r="A184" s="7" t="s">
        <v>279</v>
      </c>
      <c r="B184" s="7" t="s">
        <v>29</v>
      </c>
      <c r="C184" s="15">
        <v>45643</v>
      </c>
      <c r="D184" s="7" t="s">
        <v>68</v>
      </c>
      <c r="E184" s="7" t="s">
        <v>69</v>
      </c>
      <c r="F184" s="8">
        <v>360</v>
      </c>
      <c r="G184" s="8">
        <v>590</v>
      </c>
      <c r="H184" s="8">
        <v>393</v>
      </c>
      <c r="I184" s="8">
        <v>4680</v>
      </c>
      <c r="J184" s="8">
        <v>4322</v>
      </c>
      <c r="K184" s="8">
        <v>208</v>
      </c>
      <c r="L184" s="16" t="s">
        <v>85</v>
      </c>
      <c r="M184" s="7" t="s">
        <v>11</v>
      </c>
    </row>
    <row r="185" spans="1:13" ht="72.55" thickBot="1" x14ac:dyDescent="0.35">
      <c r="A185" s="7" t="s">
        <v>280</v>
      </c>
      <c r="B185" s="7" t="s">
        <v>32</v>
      </c>
      <c r="C185" s="15">
        <v>45501</v>
      </c>
      <c r="D185" s="7" t="s">
        <v>78</v>
      </c>
      <c r="E185" s="7" t="s">
        <v>126</v>
      </c>
      <c r="F185" s="8">
        <v>3215</v>
      </c>
      <c r="G185" s="8">
        <v>960</v>
      </c>
      <c r="H185" s="8">
        <v>202</v>
      </c>
      <c r="I185" s="8">
        <v>32150</v>
      </c>
      <c r="J185" s="8">
        <v>31404</v>
      </c>
      <c r="K185" s="8">
        <v>251</v>
      </c>
      <c r="L185" s="16" t="s">
        <v>70</v>
      </c>
      <c r="M185" s="7" t="s">
        <v>7</v>
      </c>
    </row>
    <row r="186" spans="1:13" ht="101.35" thickBot="1" x14ac:dyDescent="0.35">
      <c r="A186" s="7" t="s">
        <v>281</v>
      </c>
      <c r="B186" s="7" t="s">
        <v>29</v>
      </c>
      <c r="C186" s="15">
        <v>45668</v>
      </c>
      <c r="D186" s="7" t="s">
        <v>73</v>
      </c>
      <c r="E186" s="7" t="s">
        <v>102</v>
      </c>
      <c r="F186" s="8">
        <v>4523</v>
      </c>
      <c r="G186" s="8">
        <v>61</v>
      </c>
      <c r="H186" s="8">
        <v>157</v>
      </c>
      <c r="I186" s="8">
        <v>49753</v>
      </c>
      <c r="J186" s="8">
        <v>49329</v>
      </c>
      <c r="K186" s="8">
        <v>71</v>
      </c>
      <c r="L186" s="16" t="s">
        <v>70</v>
      </c>
      <c r="M186" s="7"/>
    </row>
    <row r="187" spans="1:13" ht="101.35" thickBot="1" x14ac:dyDescent="0.35">
      <c r="A187" s="7" t="s">
        <v>282</v>
      </c>
      <c r="B187" s="7" t="s">
        <v>30</v>
      </c>
      <c r="C187" s="15">
        <v>45528</v>
      </c>
      <c r="D187" s="7" t="s">
        <v>73</v>
      </c>
      <c r="E187" s="7" t="s">
        <v>74</v>
      </c>
      <c r="F187" s="8">
        <v>4292</v>
      </c>
      <c r="G187" s="8">
        <v>51</v>
      </c>
      <c r="H187" s="8">
        <v>392</v>
      </c>
      <c r="I187" s="8">
        <v>55796</v>
      </c>
      <c r="J187" s="8">
        <v>54826</v>
      </c>
      <c r="K187" s="8">
        <v>264</v>
      </c>
      <c r="L187" s="16" t="s">
        <v>70</v>
      </c>
      <c r="M187" s="7" t="s">
        <v>15</v>
      </c>
    </row>
    <row r="188" spans="1:13" ht="72.55" thickBot="1" x14ac:dyDescent="0.35">
      <c r="A188" s="7" t="s">
        <v>283</v>
      </c>
      <c r="B188" s="7" t="s">
        <v>32</v>
      </c>
      <c r="C188" s="15">
        <v>45648</v>
      </c>
      <c r="D188" s="7" t="s">
        <v>57</v>
      </c>
      <c r="E188" s="7" t="s">
        <v>58</v>
      </c>
      <c r="F188" s="8">
        <v>1644</v>
      </c>
      <c r="G188" s="8">
        <v>546</v>
      </c>
      <c r="H188" s="8">
        <v>150</v>
      </c>
      <c r="I188" s="8">
        <v>27948</v>
      </c>
      <c r="J188" s="8">
        <v>27184</v>
      </c>
      <c r="K188" s="8">
        <v>300</v>
      </c>
      <c r="L188" s="16" t="s">
        <v>70</v>
      </c>
      <c r="M188" s="7" t="s">
        <v>15</v>
      </c>
    </row>
    <row r="189" spans="1:13" ht="72.55" thickBot="1" x14ac:dyDescent="0.35">
      <c r="A189" s="7" t="s">
        <v>284</v>
      </c>
      <c r="B189" s="7" t="s">
        <v>31</v>
      </c>
      <c r="C189" s="15">
        <v>45449</v>
      </c>
      <c r="D189" s="7" t="s">
        <v>57</v>
      </c>
      <c r="E189" s="7" t="s">
        <v>65</v>
      </c>
      <c r="F189" s="8">
        <v>2728</v>
      </c>
      <c r="G189" s="8">
        <v>533</v>
      </c>
      <c r="H189" s="8">
        <v>215</v>
      </c>
      <c r="I189" s="8">
        <v>40920</v>
      </c>
      <c r="J189" s="8">
        <v>40816</v>
      </c>
      <c r="K189" s="8">
        <v>137</v>
      </c>
      <c r="L189" s="16" t="s">
        <v>85</v>
      </c>
      <c r="M189" s="7" t="s">
        <v>11</v>
      </c>
    </row>
    <row r="190" spans="1:13" ht="86.95" thickBot="1" x14ac:dyDescent="0.35">
      <c r="A190" s="7" t="s">
        <v>285</v>
      </c>
      <c r="B190" s="7" t="s">
        <v>30</v>
      </c>
      <c r="C190" s="15">
        <v>45740</v>
      </c>
      <c r="D190" s="7" t="s">
        <v>57</v>
      </c>
      <c r="E190" s="7" t="s">
        <v>87</v>
      </c>
      <c r="F190" s="8">
        <v>3360</v>
      </c>
      <c r="G190" s="8">
        <v>525</v>
      </c>
      <c r="H190" s="8">
        <v>500</v>
      </c>
      <c r="I190" s="8">
        <v>60480</v>
      </c>
      <c r="J190" s="8">
        <v>59610</v>
      </c>
      <c r="K190" s="8">
        <v>192</v>
      </c>
      <c r="L190" s="16" t="s">
        <v>66</v>
      </c>
      <c r="M190" s="7" t="s">
        <v>7</v>
      </c>
    </row>
    <row r="191" spans="1:13" ht="72.55" thickBot="1" x14ac:dyDescent="0.35">
      <c r="A191" s="7" t="s">
        <v>286</v>
      </c>
      <c r="B191" s="7" t="s">
        <v>31</v>
      </c>
      <c r="C191" s="15">
        <v>45569</v>
      </c>
      <c r="D191" s="7" t="s">
        <v>61</v>
      </c>
      <c r="E191" s="7" t="s">
        <v>111</v>
      </c>
      <c r="F191" s="8">
        <v>1963</v>
      </c>
      <c r="G191" s="8">
        <v>213</v>
      </c>
      <c r="H191" s="8">
        <v>19</v>
      </c>
      <c r="I191" s="8">
        <v>39260</v>
      </c>
      <c r="J191" s="8">
        <v>38771</v>
      </c>
      <c r="K191" s="8">
        <v>145</v>
      </c>
      <c r="L191" s="16" t="s">
        <v>85</v>
      </c>
      <c r="M191" s="7"/>
    </row>
    <row r="192" spans="1:13" ht="72.55" thickBot="1" x14ac:dyDescent="0.35">
      <c r="A192" s="7" t="s">
        <v>287</v>
      </c>
      <c r="B192" s="7" t="s">
        <v>31</v>
      </c>
      <c r="C192" s="15">
        <v>45629</v>
      </c>
      <c r="D192" s="7" t="s">
        <v>68</v>
      </c>
      <c r="E192" s="7" t="s">
        <v>139</v>
      </c>
      <c r="F192" s="8">
        <v>4285</v>
      </c>
      <c r="G192" s="8">
        <v>886</v>
      </c>
      <c r="H192" s="8">
        <v>376</v>
      </c>
      <c r="I192" s="8">
        <v>55705</v>
      </c>
      <c r="J192" s="8">
        <v>55556</v>
      </c>
      <c r="K192" s="8">
        <v>51</v>
      </c>
      <c r="L192" s="16" t="s">
        <v>85</v>
      </c>
      <c r="M192" s="7" t="s">
        <v>15</v>
      </c>
    </row>
    <row r="193" spans="1:13" ht="86.95" thickBot="1" x14ac:dyDescent="0.35">
      <c r="A193" s="7" t="s">
        <v>288</v>
      </c>
      <c r="B193" s="7" t="s">
        <v>29</v>
      </c>
      <c r="C193" s="15">
        <v>45625</v>
      </c>
      <c r="D193" s="7" t="s">
        <v>93</v>
      </c>
      <c r="E193" s="7" t="s">
        <v>100</v>
      </c>
      <c r="F193" s="8">
        <v>1176</v>
      </c>
      <c r="G193" s="8">
        <v>464</v>
      </c>
      <c r="H193" s="8">
        <v>394</v>
      </c>
      <c r="I193" s="8">
        <v>14112</v>
      </c>
      <c r="J193" s="8">
        <v>13588</v>
      </c>
      <c r="K193" s="8">
        <v>272</v>
      </c>
      <c r="L193" s="16" t="s">
        <v>70</v>
      </c>
      <c r="M193" s="7"/>
    </row>
    <row r="194" spans="1:13" ht="72.55" thickBot="1" x14ac:dyDescent="0.35">
      <c r="A194" s="7" t="s">
        <v>289</v>
      </c>
      <c r="B194" s="7" t="s">
        <v>32</v>
      </c>
      <c r="C194" s="15">
        <v>45546</v>
      </c>
      <c r="D194" s="7" t="s">
        <v>78</v>
      </c>
      <c r="E194" s="7" t="s">
        <v>126</v>
      </c>
      <c r="F194" s="8">
        <v>4858</v>
      </c>
      <c r="G194" s="8">
        <v>317</v>
      </c>
      <c r="H194" s="8">
        <v>129</v>
      </c>
      <c r="I194" s="8">
        <v>53438</v>
      </c>
      <c r="J194" s="8">
        <v>52687</v>
      </c>
      <c r="K194" s="8">
        <v>223</v>
      </c>
      <c r="L194" s="16" t="s">
        <v>70</v>
      </c>
      <c r="M194" s="7" t="s">
        <v>15</v>
      </c>
    </row>
    <row r="195" spans="1:13" ht="72.55" thickBot="1" x14ac:dyDescent="0.35">
      <c r="A195" s="7" t="s">
        <v>290</v>
      </c>
      <c r="B195" s="7" t="s">
        <v>31</v>
      </c>
      <c r="C195" s="15">
        <v>45567</v>
      </c>
      <c r="D195" s="7" t="s">
        <v>68</v>
      </c>
      <c r="E195" s="7" t="s">
        <v>139</v>
      </c>
      <c r="F195" s="8">
        <v>4350</v>
      </c>
      <c r="G195" s="8">
        <v>771</v>
      </c>
      <c r="H195" s="8">
        <v>7</v>
      </c>
      <c r="I195" s="8">
        <v>60900</v>
      </c>
      <c r="J195" s="8">
        <v>60592</v>
      </c>
      <c r="K195" s="8">
        <v>195</v>
      </c>
      <c r="L195" s="16" t="s">
        <v>70</v>
      </c>
      <c r="M195" s="7" t="s">
        <v>7</v>
      </c>
    </row>
    <row r="196" spans="1:13" ht="101.35" thickBot="1" x14ac:dyDescent="0.35">
      <c r="A196" s="7" t="s">
        <v>291</v>
      </c>
      <c r="B196" s="7" t="s">
        <v>29</v>
      </c>
      <c r="C196" s="15">
        <v>45519</v>
      </c>
      <c r="D196" s="7" t="s">
        <v>73</v>
      </c>
      <c r="E196" s="7" t="s">
        <v>102</v>
      </c>
      <c r="F196" s="8">
        <v>914</v>
      </c>
      <c r="G196" s="8">
        <v>464</v>
      </c>
      <c r="H196" s="8">
        <v>246</v>
      </c>
      <c r="I196" s="8">
        <v>11882</v>
      </c>
      <c r="J196" s="8">
        <v>11500</v>
      </c>
      <c r="K196" s="8">
        <v>282</v>
      </c>
      <c r="L196" s="16" t="s">
        <v>175</v>
      </c>
      <c r="M196" s="7" t="s">
        <v>19</v>
      </c>
    </row>
    <row r="197" spans="1:13" ht="86.95" thickBot="1" x14ac:dyDescent="0.35">
      <c r="A197" s="7" t="s">
        <v>292</v>
      </c>
      <c r="B197" s="7" t="s">
        <v>29</v>
      </c>
      <c r="C197" s="15">
        <v>45645</v>
      </c>
      <c r="D197" s="7" t="s">
        <v>61</v>
      </c>
      <c r="E197" s="7" t="s">
        <v>116</v>
      </c>
      <c r="F197" s="8">
        <v>1813</v>
      </c>
      <c r="G197" s="8">
        <v>623</v>
      </c>
      <c r="H197" s="8">
        <v>72</v>
      </c>
      <c r="I197" s="8">
        <v>19943</v>
      </c>
      <c r="J197" s="8">
        <v>18959</v>
      </c>
      <c r="K197" s="8">
        <v>85</v>
      </c>
      <c r="L197" s="16" t="s">
        <v>70</v>
      </c>
      <c r="M197" s="7" t="s">
        <v>15</v>
      </c>
    </row>
    <row r="198" spans="1:13" ht="72.55" thickBot="1" x14ac:dyDescent="0.35">
      <c r="A198" s="7" t="s">
        <v>293</v>
      </c>
      <c r="B198" s="7" t="s">
        <v>32</v>
      </c>
      <c r="C198" s="15">
        <v>45587</v>
      </c>
      <c r="D198" s="7" t="s">
        <v>57</v>
      </c>
      <c r="E198" s="7" t="s">
        <v>58</v>
      </c>
      <c r="F198" s="8">
        <v>4782</v>
      </c>
      <c r="G198" s="8">
        <v>721</v>
      </c>
      <c r="H198" s="8">
        <v>82</v>
      </c>
      <c r="I198" s="8">
        <v>86076</v>
      </c>
      <c r="J198" s="8">
        <v>85339</v>
      </c>
      <c r="K198" s="8">
        <v>19</v>
      </c>
      <c r="L198" s="16" t="s">
        <v>70</v>
      </c>
      <c r="M198" s="7" t="s">
        <v>7</v>
      </c>
    </row>
    <row r="199" spans="1:13" ht="72.55" thickBot="1" x14ac:dyDescent="0.35">
      <c r="A199" s="7" t="s">
        <v>294</v>
      </c>
      <c r="B199" s="7" t="s">
        <v>32</v>
      </c>
      <c r="C199" s="15">
        <v>45549</v>
      </c>
      <c r="D199" s="7" t="s">
        <v>78</v>
      </c>
      <c r="E199" s="7" t="s">
        <v>126</v>
      </c>
      <c r="F199" s="8">
        <v>1048</v>
      </c>
      <c r="G199" s="8">
        <v>374</v>
      </c>
      <c r="H199" s="8">
        <v>450</v>
      </c>
      <c r="I199" s="8">
        <v>9432</v>
      </c>
      <c r="J199" s="8">
        <v>8882</v>
      </c>
      <c r="K199" s="8">
        <v>158</v>
      </c>
      <c r="L199" s="16" t="s">
        <v>66</v>
      </c>
      <c r="M199" s="7" t="s">
        <v>15</v>
      </c>
    </row>
    <row r="200" spans="1:13" ht="86.95" thickBot="1" x14ac:dyDescent="0.35">
      <c r="A200" s="7" t="s">
        <v>295</v>
      </c>
      <c r="B200" s="7" t="s">
        <v>31</v>
      </c>
      <c r="C200" s="15">
        <v>45626</v>
      </c>
      <c r="D200" s="7" t="s">
        <v>73</v>
      </c>
      <c r="E200" s="7" t="s">
        <v>89</v>
      </c>
      <c r="F200" s="8">
        <v>2509</v>
      </c>
      <c r="G200" s="8">
        <v>324</v>
      </c>
      <c r="H200" s="8">
        <v>171</v>
      </c>
      <c r="I200" s="8">
        <v>35126</v>
      </c>
      <c r="J200" s="8">
        <v>34685</v>
      </c>
      <c r="K200" s="8">
        <v>277</v>
      </c>
      <c r="L200" s="16" t="s">
        <v>66</v>
      </c>
      <c r="M200" s="7" t="s">
        <v>11</v>
      </c>
    </row>
    <row r="201" spans="1:13" ht="86.95" thickBot="1" x14ac:dyDescent="0.35">
      <c r="A201" s="7" t="s">
        <v>296</v>
      </c>
      <c r="B201" s="7" t="s">
        <v>30</v>
      </c>
      <c r="C201" s="15">
        <v>45754</v>
      </c>
      <c r="D201" s="7" t="s">
        <v>57</v>
      </c>
      <c r="E201" s="7" t="s">
        <v>87</v>
      </c>
      <c r="F201" s="8">
        <v>3718</v>
      </c>
      <c r="G201" s="8">
        <v>385</v>
      </c>
      <c r="H201" s="8">
        <v>310</v>
      </c>
      <c r="I201" s="8">
        <v>70642</v>
      </c>
      <c r="J201" s="8">
        <v>69749</v>
      </c>
      <c r="K201" s="8">
        <v>233</v>
      </c>
      <c r="L201" s="16" t="s">
        <v>66</v>
      </c>
      <c r="M201" s="7" t="s">
        <v>11</v>
      </c>
    </row>
    <row r="202" spans="1:13" ht="72.55" thickBot="1" x14ac:dyDescent="0.35">
      <c r="A202" s="7" t="s">
        <v>297</v>
      </c>
      <c r="B202" s="7" t="s">
        <v>32</v>
      </c>
      <c r="C202" s="15">
        <v>45672</v>
      </c>
      <c r="D202" s="7" t="s">
        <v>57</v>
      </c>
      <c r="E202" s="7" t="s">
        <v>58</v>
      </c>
      <c r="F202" s="8">
        <v>802</v>
      </c>
      <c r="G202" s="8">
        <v>262</v>
      </c>
      <c r="H202" s="8">
        <v>244</v>
      </c>
      <c r="I202" s="8">
        <v>14436</v>
      </c>
      <c r="J202" s="8">
        <v>14280</v>
      </c>
      <c r="K202" s="8">
        <v>49</v>
      </c>
      <c r="L202" s="16" t="s">
        <v>70</v>
      </c>
      <c r="M202" s="7" t="s">
        <v>7</v>
      </c>
    </row>
    <row r="203" spans="1:13" ht="86.95" thickBot="1" x14ac:dyDescent="0.35">
      <c r="A203" s="7" t="s">
        <v>298</v>
      </c>
      <c r="B203" s="7" t="s">
        <v>30</v>
      </c>
      <c r="C203" s="15">
        <v>45445</v>
      </c>
      <c r="D203" s="7" t="s">
        <v>78</v>
      </c>
      <c r="E203" s="7" t="s">
        <v>83</v>
      </c>
      <c r="F203" s="8">
        <v>1871</v>
      </c>
      <c r="G203" s="8">
        <v>252</v>
      </c>
      <c r="H203" s="8">
        <v>335</v>
      </c>
      <c r="I203" s="8">
        <v>29936</v>
      </c>
      <c r="J203" s="8">
        <v>29576</v>
      </c>
      <c r="K203" s="8">
        <v>288</v>
      </c>
      <c r="L203" s="16" t="s">
        <v>70</v>
      </c>
      <c r="M203" s="7" t="s">
        <v>15</v>
      </c>
    </row>
    <row r="204" spans="1:13" ht="101.35" thickBot="1" x14ac:dyDescent="0.35">
      <c r="A204" s="7" t="s">
        <v>299</v>
      </c>
      <c r="B204" s="7" t="s">
        <v>29</v>
      </c>
      <c r="C204" s="15">
        <v>45617</v>
      </c>
      <c r="D204" s="7" t="s">
        <v>73</v>
      </c>
      <c r="E204" s="7" t="s">
        <v>102</v>
      </c>
      <c r="F204" s="8">
        <v>3773</v>
      </c>
      <c r="G204" s="8">
        <v>299</v>
      </c>
      <c r="H204" s="8">
        <v>38</v>
      </c>
      <c r="I204" s="8">
        <v>71687</v>
      </c>
      <c r="J204" s="8">
        <v>71447</v>
      </c>
      <c r="K204" s="8">
        <v>286</v>
      </c>
      <c r="L204" s="16" t="s">
        <v>85</v>
      </c>
      <c r="M204" s="7" t="s">
        <v>7</v>
      </c>
    </row>
    <row r="205" spans="1:13" ht="101.35" thickBot="1" x14ac:dyDescent="0.35">
      <c r="A205" s="7" t="s">
        <v>300</v>
      </c>
      <c r="B205" s="7" t="s">
        <v>29</v>
      </c>
      <c r="C205" s="15">
        <v>45658</v>
      </c>
      <c r="D205" s="7" t="s">
        <v>73</v>
      </c>
      <c r="E205" s="7" t="s">
        <v>102</v>
      </c>
      <c r="F205" s="8">
        <v>2234</v>
      </c>
      <c r="G205" s="8">
        <v>653</v>
      </c>
      <c r="H205" s="8">
        <v>432</v>
      </c>
      <c r="I205" s="8">
        <v>11170</v>
      </c>
      <c r="J205" s="8">
        <v>10569</v>
      </c>
      <c r="K205" s="8">
        <v>198</v>
      </c>
      <c r="L205" s="16" t="s">
        <v>85</v>
      </c>
      <c r="M205" s="7" t="s">
        <v>15</v>
      </c>
    </row>
    <row r="206" spans="1:13" ht="72.55" thickBot="1" x14ac:dyDescent="0.35">
      <c r="A206" s="7" t="s">
        <v>301</v>
      </c>
      <c r="B206" s="7" t="s">
        <v>32</v>
      </c>
      <c r="C206" s="15">
        <v>45771</v>
      </c>
      <c r="D206" s="7" t="s">
        <v>93</v>
      </c>
      <c r="E206" s="7" t="s">
        <v>133</v>
      </c>
      <c r="F206" s="8">
        <v>3820</v>
      </c>
      <c r="G206" s="8">
        <v>697</v>
      </c>
      <c r="H206" s="8">
        <v>268</v>
      </c>
      <c r="I206" s="8">
        <v>45840</v>
      </c>
      <c r="J206" s="8">
        <v>45631</v>
      </c>
      <c r="K206" s="8">
        <v>171</v>
      </c>
      <c r="L206" s="16" t="s">
        <v>302</v>
      </c>
      <c r="M206" s="7" t="s">
        <v>19</v>
      </c>
    </row>
    <row r="207" spans="1:13" ht="72.55" thickBot="1" x14ac:dyDescent="0.35">
      <c r="A207" s="7" t="s">
        <v>303</v>
      </c>
      <c r="B207" s="7" t="s">
        <v>32</v>
      </c>
      <c r="C207" s="15">
        <v>45467</v>
      </c>
      <c r="D207" s="7" t="s">
        <v>61</v>
      </c>
      <c r="E207" s="7" t="s">
        <v>62</v>
      </c>
      <c r="F207" s="8">
        <v>941</v>
      </c>
      <c r="G207" s="8">
        <v>121</v>
      </c>
      <c r="H207" s="8">
        <v>458</v>
      </c>
      <c r="I207" s="8">
        <v>14115</v>
      </c>
      <c r="J207" s="8">
        <v>13838</v>
      </c>
      <c r="K207" s="8">
        <v>87</v>
      </c>
      <c r="L207" s="16" t="s">
        <v>70</v>
      </c>
      <c r="M207" s="7" t="s">
        <v>7</v>
      </c>
    </row>
    <row r="208" spans="1:13" ht="86.95" thickBot="1" x14ac:dyDescent="0.35">
      <c r="A208" s="7" t="s">
        <v>304</v>
      </c>
      <c r="B208" s="7" t="s">
        <v>32</v>
      </c>
      <c r="C208" s="15">
        <v>45655</v>
      </c>
      <c r="D208" s="7" t="s">
        <v>73</v>
      </c>
      <c r="E208" s="7" t="s">
        <v>76</v>
      </c>
      <c r="F208" s="8">
        <v>4274</v>
      </c>
      <c r="G208" s="8">
        <v>340</v>
      </c>
      <c r="H208" s="8">
        <v>281</v>
      </c>
      <c r="I208" s="8">
        <v>34192</v>
      </c>
      <c r="J208" s="8">
        <v>33446</v>
      </c>
      <c r="K208" s="8">
        <v>129</v>
      </c>
      <c r="L208" s="16" t="s">
        <v>302</v>
      </c>
      <c r="M208" s="7" t="s">
        <v>15</v>
      </c>
    </row>
    <row r="209" spans="1:13" ht="72.55" thickBot="1" x14ac:dyDescent="0.35">
      <c r="A209" s="7" t="s">
        <v>305</v>
      </c>
      <c r="B209" s="7" t="s">
        <v>31</v>
      </c>
      <c r="C209" s="15">
        <v>45467</v>
      </c>
      <c r="D209" s="7" t="s">
        <v>93</v>
      </c>
      <c r="E209" s="7" t="s">
        <v>177</v>
      </c>
      <c r="F209" s="8">
        <v>2949</v>
      </c>
      <c r="G209" s="8">
        <v>476</v>
      </c>
      <c r="H209" s="8">
        <v>403</v>
      </c>
      <c r="I209" s="8">
        <v>44235</v>
      </c>
      <c r="J209" s="8">
        <v>43705</v>
      </c>
      <c r="K209" s="8">
        <v>135</v>
      </c>
      <c r="L209" s="16" t="s">
        <v>66</v>
      </c>
      <c r="M209" s="7" t="s">
        <v>11</v>
      </c>
    </row>
    <row r="210" spans="1:13" ht="72.55" thickBot="1" x14ac:dyDescent="0.35">
      <c r="A210" s="7" t="s">
        <v>306</v>
      </c>
      <c r="B210" s="7" t="s">
        <v>32</v>
      </c>
      <c r="C210" s="15">
        <v>45735</v>
      </c>
      <c r="D210" s="7" t="s">
        <v>93</v>
      </c>
      <c r="E210" s="7" t="s">
        <v>133</v>
      </c>
      <c r="F210" s="8">
        <v>3160</v>
      </c>
      <c r="G210" s="8">
        <v>204</v>
      </c>
      <c r="H210" s="8">
        <v>297</v>
      </c>
      <c r="I210" s="8">
        <v>44240</v>
      </c>
      <c r="J210" s="8">
        <v>43666</v>
      </c>
      <c r="K210" s="8">
        <v>49</v>
      </c>
      <c r="L210" s="16" t="s">
        <v>59</v>
      </c>
      <c r="M210" s="7" t="s">
        <v>19</v>
      </c>
    </row>
    <row r="211" spans="1:13" ht="72.55" thickBot="1" x14ac:dyDescent="0.35">
      <c r="A211" s="7" t="s">
        <v>307</v>
      </c>
      <c r="B211" s="7" t="s">
        <v>31</v>
      </c>
      <c r="C211" s="15">
        <v>45707</v>
      </c>
      <c r="D211" s="7" t="s">
        <v>78</v>
      </c>
      <c r="E211" s="7" t="s">
        <v>79</v>
      </c>
      <c r="F211" s="8">
        <v>257</v>
      </c>
      <c r="G211" s="8">
        <v>966</v>
      </c>
      <c r="H211" s="8">
        <v>398</v>
      </c>
      <c r="I211" s="8">
        <v>3341</v>
      </c>
      <c r="J211" s="8">
        <v>2753</v>
      </c>
      <c r="K211" s="8">
        <v>287</v>
      </c>
      <c r="L211" s="16" t="s">
        <v>85</v>
      </c>
      <c r="M211" s="7" t="s">
        <v>7</v>
      </c>
    </row>
    <row r="212" spans="1:13" ht="86.95" thickBot="1" x14ac:dyDescent="0.35">
      <c r="A212" s="7" t="s">
        <v>308</v>
      </c>
      <c r="B212" s="7" t="s">
        <v>32</v>
      </c>
      <c r="C212" s="15">
        <v>45491</v>
      </c>
      <c r="D212" s="7" t="s">
        <v>73</v>
      </c>
      <c r="E212" s="7" t="s">
        <v>76</v>
      </c>
      <c r="F212" s="8">
        <v>2120</v>
      </c>
      <c r="G212" s="8">
        <v>38</v>
      </c>
      <c r="H212" s="8">
        <v>212</v>
      </c>
      <c r="I212" s="8">
        <v>12720</v>
      </c>
      <c r="J212" s="8">
        <v>12564</v>
      </c>
      <c r="K212" s="8">
        <v>21</v>
      </c>
      <c r="L212" s="16" t="s">
        <v>85</v>
      </c>
      <c r="M212" s="7" t="s">
        <v>19</v>
      </c>
    </row>
    <row r="213" spans="1:13" ht="72.55" thickBot="1" x14ac:dyDescent="0.35">
      <c r="A213" s="7" t="s">
        <v>309</v>
      </c>
      <c r="B213" s="7" t="s">
        <v>31</v>
      </c>
      <c r="C213" s="15">
        <v>45719</v>
      </c>
      <c r="D213" s="7" t="s">
        <v>93</v>
      </c>
      <c r="E213" s="7" t="s">
        <v>177</v>
      </c>
      <c r="F213" s="8">
        <v>3874</v>
      </c>
      <c r="G213" s="8">
        <v>884</v>
      </c>
      <c r="H213" s="8">
        <v>19</v>
      </c>
      <c r="I213" s="8">
        <v>38740</v>
      </c>
      <c r="J213" s="8">
        <v>38552</v>
      </c>
      <c r="K213" s="8">
        <v>219</v>
      </c>
      <c r="L213" s="16" t="s">
        <v>66</v>
      </c>
      <c r="M213" s="7" t="s">
        <v>11</v>
      </c>
    </row>
    <row r="214" spans="1:13" ht="101.35" thickBot="1" x14ac:dyDescent="0.35">
      <c r="A214" s="7" t="s">
        <v>310</v>
      </c>
      <c r="B214" s="7" t="s">
        <v>30</v>
      </c>
      <c r="C214" s="15">
        <v>45778</v>
      </c>
      <c r="D214" s="7" t="s">
        <v>73</v>
      </c>
      <c r="E214" s="7" t="s">
        <v>74</v>
      </c>
      <c r="F214" s="8">
        <v>2696</v>
      </c>
      <c r="G214" s="8">
        <v>628</v>
      </c>
      <c r="H214" s="8">
        <v>443</v>
      </c>
      <c r="I214" s="8">
        <v>45832</v>
      </c>
      <c r="J214" s="8">
        <v>45632</v>
      </c>
      <c r="K214" s="8">
        <v>248</v>
      </c>
      <c r="L214" s="16" t="s">
        <v>70</v>
      </c>
      <c r="M214" s="7" t="s">
        <v>19</v>
      </c>
    </row>
    <row r="215" spans="1:13" ht="86.95" thickBot="1" x14ac:dyDescent="0.35">
      <c r="A215" s="7" t="s">
        <v>311</v>
      </c>
      <c r="B215" s="7" t="s">
        <v>29</v>
      </c>
      <c r="C215" s="15">
        <v>45649</v>
      </c>
      <c r="D215" s="7" t="s">
        <v>78</v>
      </c>
      <c r="E215" s="7" t="s">
        <v>174</v>
      </c>
      <c r="F215" s="8">
        <v>521</v>
      </c>
      <c r="G215" s="8">
        <v>746</v>
      </c>
      <c r="H215" s="8">
        <v>315</v>
      </c>
      <c r="I215" s="8">
        <v>4168</v>
      </c>
      <c r="J215" s="8">
        <v>3399</v>
      </c>
      <c r="K215" s="8">
        <v>282</v>
      </c>
      <c r="L215" s="16" t="s">
        <v>85</v>
      </c>
      <c r="M215" s="7" t="s">
        <v>11</v>
      </c>
    </row>
    <row r="216" spans="1:13" ht="86.95" thickBot="1" x14ac:dyDescent="0.35">
      <c r="A216" s="7" t="s">
        <v>312</v>
      </c>
      <c r="B216" s="7" t="s">
        <v>30</v>
      </c>
      <c r="C216" s="15">
        <v>45783</v>
      </c>
      <c r="D216" s="7" t="s">
        <v>78</v>
      </c>
      <c r="E216" s="7" t="s">
        <v>83</v>
      </c>
      <c r="F216" s="8">
        <v>4872</v>
      </c>
      <c r="G216" s="8">
        <v>925</v>
      </c>
      <c r="H216" s="8">
        <v>176</v>
      </c>
      <c r="I216" s="8">
        <v>82824</v>
      </c>
      <c r="J216" s="8">
        <v>82543</v>
      </c>
      <c r="K216" s="8">
        <v>89</v>
      </c>
      <c r="L216" s="16" t="s">
        <v>70</v>
      </c>
      <c r="M216" s="7" t="s">
        <v>11</v>
      </c>
    </row>
    <row r="217" spans="1:13" ht="72.55" thickBot="1" x14ac:dyDescent="0.35">
      <c r="A217" s="7" t="s">
        <v>313</v>
      </c>
      <c r="B217" s="7" t="s">
        <v>31</v>
      </c>
      <c r="C217" s="15">
        <v>45502</v>
      </c>
      <c r="D217" s="7" t="s">
        <v>68</v>
      </c>
      <c r="E217" s="7" t="s">
        <v>139</v>
      </c>
      <c r="F217" s="8">
        <v>1509</v>
      </c>
      <c r="G217" s="8">
        <v>88</v>
      </c>
      <c r="H217" s="8">
        <v>163</v>
      </c>
      <c r="I217" s="8">
        <v>30180</v>
      </c>
      <c r="J217" s="8">
        <v>29689</v>
      </c>
      <c r="K217" s="8">
        <v>119</v>
      </c>
      <c r="L217" s="16" t="s">
        <v>70</v>
      </c>
      <c r="M217" s="7" t="s">
        <v>11</v>
      </c>
    </row>
    <row r="218" spans="1:13" ht="86.95" thickBot="1" x14ac:dyDescent="0.35">
      <c r="A218" s="7" t="s">
        <v>314</v>
      </c>
      <c r="B218" s="7" t="s">
        <v>30</v>
      </c>
      <c r="C218" s="15">
        <v>45629</v>
      </c>
      <c r="D218" s="7" t="s">
        <v>78</v>
      </c>
      <c r="E218" s="7" t="s">
        <v>83</v>
      </c>
      <c r="F218" s="8">
        <v>4606</v>
      </c>
      <c r="G218" s="8">
        <v>931</v>
      </c>
      <c r="H218" s="8">
        <v>230</v>
      </c>
      <c r="I218" s="8">
        <v>92120</v>
      </c>
      <c r="J218" s="8">
        <v>91440</v>
      </c>
      <c r="K218" s="8">
        <v>56</v>
      </c>
      <c r="L218" s="16" t="s">
        <v>66</v>
      </c>
      <c r="M218" s="7"/>
    </row>
    <row r="219" spans="1:13" ht="101.35" thickBot="1" x14ac:dyDescent="0.35">
      <c r="A219" s="7" t="s">
        <v>315</v>
      </c>
      <c r="B219" s="7" t="s">
        <v>30</v>
      </c>
      <c r="C219" s="15">
        <v>45454</v>
      </c>
      <c r="D219" s="7" t="s">
        <v>73</v>
      </c>
      <c r="E219" s="7" t="s">
        <v>74</v>
      </c>
      <c r="F219" s="8">
        <v>1869</v>
      </c>
      <c r="G219" s="8">
        <v>453</v>
      </c>
      <c r="H219" s="8">
        <v>490</v>
      </c>
      <c r="I219" s="8">
        <v>14952</v>
      </c>
      <c r="J219" s="8">
        <v>14309</v>
      </c>
      <c r="K219" s="8">
        <v>275</v>
      </c>
      <c r="L219" s="16" t="s">
        <v>66</v>
      </c>
      <c r="M219" s="7" t="s">
        <v>19</v>
      </c>
    </row>
    <row r="220" spans="1:13" ht="72.55" thickBot="1" x14ac:dyDescent="0.35">
      <c r="A220" s="7" t="s">
        <v>316</v>
      </c>
      <c r="B220" s="7" t="s">
        <v>32</v>
      </c>
      <c r="C220" s="15">
        <v>45685</v>
      </c>
      <c r="D220" s="7" t="s">
        <v>57</v>
      </c>
      <c r="E220" s="7" t="s">
        <v>58</v>
      </c>
      <c r="F220" s="8">
        <v>1188</v>
      </c>
      <c r="G220" s="8">
        <v>470</v>
      </c>
      <c r="H220" s="8">
        <v>174</v>
      </c>
      <c r="I220" s="8">
        <v>7128</v>
      </c>
      <c r="J220" s="8">
        <v>6145</v>
      </c>
      <c r="K220" s="8">
        <v>270</v>
      </c>
      <c r="L220" s="16" t="s">
        <v>66</v>
      </c>
      <c r="M220" s="7" t="s">
        <v>19</v>
      </c>
    </row>
    <row r="221" spans="1:13" ht="86.95" thickBot="1" x14ac:dyDescent="0.35">
      <c r="A221" s="7" t="s">
        <v>317</v>
      </c>
      <c r="B221" s="7" t="s">
        <v>29</v>
      </c>
      <c r="C221" s="15">
        <v>45445</v>
      </c>
      <c r="D221" s="7" t="s">
        <v>68</v>
      </c>
      <c r="E221" s="7" t="s">
        <v>69</v>
      </c>
      <c r="F221" s="8">
        <v>84</v>
      </c>
      <c r="G221" s="8">
        <v>897</v>
      </c>
      <c r="H221" s="8">
        <v>85</v>
      </c>
      <c r="I221" s="8">
        <v>588</v>
      </c>
      <c r="J221" s="8">
        <v>8</v>
      </c>
      <c r="K221" s="8">
        <v>12</v>
      </c>
      <c r="L221" s="16" t="s">
        <v>70</v>
      </c>
      <c r="M221" s="7"/>
    </row>
    <row r="222" spans="1:13" ht="86.95" thickBot="1" x14ac:dyDescent="0.35">
      <c r="A222" s="7" t="s">
        <v>318</v>
      </c>
      <c r="B222" s="7" t="s">
        <v>30</v>
      </c>
      <c r="C222" s="15">
        <v>45739</v>
      </c>
      <c r="D222" s="7" t="s">
        <v>93</v>
      </c>
      <c r="E222" s="7" t="s">
        <v>94</v>
      </c>
      <c r="F222" s="8">
        <v>4453</v>
      </c>
      <c r="G222" s="8">
        <v>111</v>
      </c>
      <c r="H222" s="8">
        <v>420</v>
      </c>
      <c r="I222" s="8">
        <v>31171</v>
      </c>
      <c r="J222" s="8">
        <v>30565</v>
      </c>
      <c r="K222" s="8">
        <v>23</v>
      </c>
      <c r="L222" s="16" t="s">
        <v>66</v>
      </c>
      <c r="M222" s="7"/>
    </row>
    <row r="223" spans="1:13" ht="86.95" thickBot="1" x14ac:dyDescent="0.35">
      <c r="A223" s="7" t="s">
        <v>319</v>
      </c>
      <c r="B223" s="7" t="s">
        <v>30</v>
      </c>
      <c r="C223" s="15">
        <v>45573</v>
      </c>
      <c r="D223" s="7" t="s">
        <v>57</v>
      </c>
      <c r="E223" s="7" t="s">
        <v>87</v>
      </c>
      <c r="F223" s="8">
        <v>1814</v>
      </c>
      <c r="G223" s="8">
        <v>653</v>
      </c>
      <c r="H223" s="8">
        <v>363</v>
      </c>
      <c r="I223" s="8">
        <v>25396</v>
      </c>
      <c r="J223" s="8">
        <v>25286</v>
      </c>
      <c r="K223" s="8">
        <v>39</v>
      </c>
      <c r="L223" s="16" t="s">
        <v>320</v>
      </c>
      <c r="M223" s="7" t="s">
        <v>7</v>
      </c>
    </row>
    <row r="224" spans="1:13" ht="72.55" thickBot="1" x14ac:dyDescent="0.35">
      <c r="A224" s="7" t="s">
        <v>321</v>
      </c>
      <c r="B224" s="7" t="s">
        <v>32</v>
      </c>
      <c r="C224" s="15">
        <v>45608</v>
      </c>
      <c r="D224" s="7" t="s">
        <v>78</v>
      </c>
      <c r="E224" s="7" t="s">
        <v>126</v>
      </c>
      <c r="F224" s="8">
        <v>3338</v>
      </c>
      <c r="G224" s="8">
        <v>277</v>
      </c>
      <c r="H224" s="8">
        <v>118</v>
      </c>
      <c r="I224" s="8">
        <v>60084</v>
      </c>
      <c r="J224" s="8">
        <v>59842</v>
      </c>
      <c r="K224" s="8">
        <v>252</v>
      </c>
      <c r="L224" s="16" t="s">
        <v>66</v>
      </c>
      <c r="M224" s="7"/>
    </row>
    <row r="225" spans="1:13" ht="86.95" thickBot="1" x14ac:dyDescent="0.35">
      <c r="A225" s="7" t="s">
        <v>322</v>
      </c>
      <c r="B225" s="7" t="s">
        <v>30</v>
      </c>
      <c r="C225" s="15">
        <v>45790</v>
      </c>
      <c r="D225" s="7" t="s">
        <v>78</v>
      </c>
      <c r="E225" s="7" t="s">
        <v>83</v>
      </c>
      <c r="F225" s="8">
        <v>602</v>
      </c>
      <c r="G225" s="8">
        <v>594</v>
      </c>
      <c r="H225" s="8">
        <v>156</v>
      </c>
      <c r="I225" s="8">
        <v>4214</v>
      </c>
      <c r="J225" s="8">
        <v>3363</v>
      </c>
      <c r="K225" s="8">
        <v>164</v>
      </c>
      <c r="L225" s="16" t="s">
        <v>66</v>
      </c>
      <c r="M225" s="7" t="s">
        <v>15</v>
      </c>
    </row>
    <row r="226" spans="1:13" ht="86.95" thickBot="1" x14ac:dyDescent="0.35">
      <c r="A226" s="7" t="s">
        <v>323</v>
      </c>
      <c r="B226" s="7" t="s">
        <v>32</v>
      </c>
      <c r="C226" s="15">
        <v>45463</v>
      </c>
      <c r="D226" s="7" t="s">
        <v>73</v>
      </c>
      <c r="E226" s="7" t="s">
        <v>76</v>
      </c>
      <c r="F226" s="8">
        <v>4672</v>
      </c>
      <c r="G226" s="8">
        <v>325</v>
      </c>
      <c r="H226" s="8">
        <v>32</v>
      </c>
      <c r="I226" s="8">
        <v>88768</v>
      </c>
      <c r="J226" s="8">
        <v>87833</v>
      </c>
      <c r="K226" s="8">
        <v>118</v>
      </c>
      <c r="L226" s="16" t="s">
        <v>70</v>
      </c>
      <c r="M226" s="7"/>
    </row>
    <row r="227" spans="1:13" ht="101.35" thickBot="1" x14ac:dyDescent="0.35">
      <c r="A227" s="7" t="s">
        <v>324</v>
      </c>
      <c r="B227" s="7" t="s">
        <v>29</v>
      </c>
      <c r="C227" s="15">
        <v>45511</v>
      </c>
      <c r="D227" s="7" t="s">
        <v>73</v>
      </c>
      <c r="E227" s="7" t="s">
        <v>102</v>
      </c>
      <c r="F227" s="8">
        <v>1741</v>
      </c>
      <c r="G227" s="8">
        <v>164</v>
      </c>
      <c r="H227" s="8">
        <v>318</v>
      </c>
      <c r="I227" s="8">
        <v>8705</v>
      </c>
      <c r="J227" s="8">
        <v>8272</v>
      </c>
      <c r="K227" s="8">
        <v>121</v>
      </c>
      <c r="L227" s="16" t="s">
        <v>66</v>
      </c>
      <c r="M227" s="7"/>
    </row>
    <row r="228" spans="1:13" ht="86.95" thickBot="1" x14ac:dyDescent="0.35">
      <c r="A228" s="7" t="s">
        <v>325</v>
      </c>
      <c r="B228" s="7" t="s">
        <v>29</v>
      </c>
      <c r="C228" s="15">
        <v>45455</v>
      </c>
      <c r="D228" s="7" t="s">
        <v>61</v>
      </c>
      <c r="E228" s="7" t="s">
        <v>116</v>
      </c>
      <c r="F228" s="8">
        <v>246</v>
      </c>
      <c r="G228" s="8">
        <v>149</v>
      </c>
      <c r="H228" s="8">
        <v>130</v>
      </c>
      <c r="I228" s="8">
        <v>4674</v>
      </c>
      <c r="J228" s="8">
        <v>4390</v>
      </c>
      <c r="K228" s="8">
        <v>217</v>
      </c>
      <c r="L228" s="16" t="s">
        <v>85</v>
      </c>
      <c r="M228" s="7" t="s">
        <v>15</v>
      </c>
    </row>
    <row r="229" spans="1:13" ht="86.95" thickBot="1" x14ac:dyDescent="0.35">
      <c r="A229" s="7" t="s">
        <v>326</v>
      </c>
      <c r="B229" s="7" t="s">
        <v>29</v>
      </c>
      <c r="C229" s="15">
        <v>45474</v>
      </c>
      <c r="D229" s="7" t="s">
        <v>68</v>
      </c>
      <c r="E229" s="7" t="s">
        <v>69</v>
      </c>
      <c r="F229" s="8">
        <v>4808</v>
      </c>
      <c r="G229" s="8">
        <v>772</v>
      </c>
      <c r="H229" s="8">
        <v>320</v>
      </c>
      <c r="I229" s="8">
        <v>72120</v>
      </c>
      <c r="J229" s="8">
        <v>71696</v>
      </c>
      <c r="K229" s="8">
        <v>195</v>
      </c>
      <c r="L229" s="16" t="s">
        <v>70</v>
      </c>
      <c r="M229" s="7" t="s">
        <v>7</v>
      </c>
    </row>
    <row r="230" spans="1:13" ht="101.35" thickBot="1" x14ac:dyDescent="0.35">
      <c r="A230" s="7" t="s">
        <v>327</v>
      </c>
      <c r="B230" s="7" t="s">
        <v>29</v>
      </c>
      <c r="C230" s="15">
        <v>45476</v>
      </c>
      <c r="D230" s="7" t="s">
        <v>73</v>
      </c>
      <c r="E230" s="7" t="s">
        <v>102</v>
      </c>
      <c r="F230" s="8">
        <v>4799</v>
      </c>
      <c r="G230" s="8">
        <v>694</v>
      </c>
      <c r="H230" s="8">
        <v>289</v>
      </c>
      <c r="I230" s="8">
        <v>43191</v>
      </c>
      <c r="J230" s="8">
        <v>42228</v>
      </c>
      <c r="K230" s="8">
        <v>118</v>
      </c>
      <c r="L230" s="16" t="s">
        <v>66</v>
      </c>
      <c r="M230" s="7"/>
    </row>
    <row r="231" spans="1:13" ht="86.95" thickBot="1" x14ac:dyDescent="0.35">
      <c r="A231" s="7" t="s">
        <v>328</v>
      </c>
      <c r="B231" s="7" t="s">
        <v>30</v>
      </c>
      <c r="C231" s="15">
        <v>45488</v>
      </c>
      <c r="D231" s="7" t="s">
        <v>57</v>
      </c>
      <c r="E231" s="7" t="s">
        <v>87</v>
      </c>
      <c r="F231" s="8">
        <v>3663</v>
      </c>
      <c r="G231" s="8">
        <v>17</v>
      </c>
      <c r="H231" s="8">
        <v>295</v>
      </c>
      <c r="I231" s="8">
        <v>51282</v>
      </c>
      <c r="J231" s="8">
        <v>50567</v>
      </c>
      <c r="K231" s="8">
        <v>84</v>
      </c>
      <c r="L231" s="16" t="s">
        <v>70</v>
      </c>
      <c r="M231" s="7" t="s">
        <v>15</v>
      </c>
    </row>
    <row r="232" spans="1:13" ht="86.95" thickBot="1" x14ac:dyDescent="0.35">
      <c r="A232" s="7" t="s">
        <v>329</v>
      </c>
      <c r="B232" s="7" t="s">
        <v>29</v>
      </c>
      <c r="C232" s="15">
        <v>45778</v>
      </c>
      <c r="D232" s="7" t="s">
        <v>61</v>
      </c>
      <c r="E232" s="7" t="s">
        <v>116</v>
      </c>
      <c r="F232" s="8">
        <v>1430</v>
      </c>
      <c r="G232" s="8">
        <v>376</v>
      </c>
      <c r="H232" s="8">
        <v>33</v>
      </c>
      <c r="I232" s="8">
        <v>21450</v>
      </c>
      <c r="J232" s="8">
        <v>20509</v>
      </c>
      <c r="K232" s="8">
        <v>251</v>
      </c>
      <c r="L232" s="16" t="s">
        <v>85</v>
      </c>
      <c r="M232" s="7" t="s">
        <v>7</v>
      </c>
    </row>
    <row r="233" spans="1:13" ht="72.55" thickBot="1" x14ac:dyDescent="0.35">
      <c r="A233" s="7" t="s">
        <v>330</v>
      </c>
      <c r="B233" s="7" t="s">
        <v>32</v>
      </c>
      <c r="C233" s="15">
        <v>45776</v>
      </c>
      <c r="D233" s="7" t="s">
        <v>68</v>
      </c>
      <c r="E233" s="7" t="s">
        <v>136</v>
      </c>
      <c r="F233" s="8">
        <v>249</v>
      </c>
      <c r="G233" s="8">
        <v>592</v>
      </c>
      <c r="H233" s="8">
        <v>230</v>
      </c>
      <c r="I233" s="8">
        <v>1494</v>
      </c>
      <c r="J233" s="8">
        <v>1044</v>
      </c>
      <c r="K233" s="8">
        <v>201</v>
      </c>
      <c r="L233" s="16" t="s">
        <v>70</v>
      </c>
      <c r="M233" s="7" t="s">
        <v>19</v>
      </c>
    </row>
    <row r="234" spans="1:13" ht="86.95" thickBot="1" x14ac:dyDescent="0.35">
      <c r="A234" s="7" t="s">
        <v>331</v>
      </c>
      <c r="B234" s="7" t="s">
        <v>30</v>
      </c>
      <c r="C234" s="15">
        <v>45724</v>
      </c>
      <c r="D234" s="7" t="s">
        <v>78</v>
      </c>
      <c r="E234" s="7" t="s">
        <v>83</v>
      </c>
      <c r="F234" s="8">
        <v>2382</v>
      </c>
      <c r="G234" s="8">
        <v>265</v>
      </c>
      <c r="H234" s="8">
        <v>134</v>
      </c>
      <c r="I234" s="8">
        <v>38112</v>
      </c>
      <c r="J234" s="8">
        <v>37437</v>
      </c>
      <c r="K234" s="8">
        <v>249</v>
      </c>
      <c r="L234" s="16" t="s">
        <v>85</v>
      </c>
      <c r="M234" s="7" t="s">
        <v>19</v>
      </c>
    </row>
    <row r="235" spans="1:13" ht="86.95" thickBot="1" x14ac:dyDescent="0.35">
      <c r="A235" s="7" t="s">
        <v>332</v>
      </c>
      <c r="B235" s="7" t="s">
        <v>30</v>
      </c>
      <c r="C235" s="15">
        <v>45444</v>
      </c>
      <c r="D235" s="7" t="s">
        <v>61</v>
      </c>
      <c r="E235" s="7" t="s">
        <v>81</v>
      </c>
      <c r="F235" s="8">
        <v>1272</v>
      </c>
      <c r="G235" s="8">
        <v>465</v>
      </c>
      <c r="H235" s="8">
        <v>99</v>
      </c>
      <c r="I235" s="8">
        <v>24168</v>
      </c>
      <c r="J235" s="8">
        <v>23719</v>
      </c>
      <c r="K235" s="8">
        <v>42</v>
      </c>
      <c r="L235" s="16" t="s">
        <v>66</v>
      </c>
      <c r="M235" s="7"/>
    </row>
    <row r="236" spans="1:13" ht="86.95" thickBot="1" x14ac:dyDescent="0.35">
      <c r="A236" s="7" t="s">
        <v>333</v>
      </c>
      <c r="B236" s="7" t="s">
        <v>30</v>
      </c>
      <c r="C236" s="15">
        <v>45648</v>
      </c>
      <c r="D236" s="7" t="s">
        <v>78</v>
      </c>
      <c r="E236" s="7" t="s">
        <v>83</v>
      </c>
      <c r="F236" s="8">
        <v>3196</v>
      </c>
      <c r="G236" s="8">
        <v>941</v>
      </c>
      <c r="H236" s="8">
        <v>376</v>
      </c>
      <c r="I236" s="8">
        <v>35156</v>
      </c>
      <c r="J236" s="8">
        <v>34444</v>
      </c>
      <c r="K236" s="8">
        <v>241</v>
      </c>
      <c r="L236" s="16" t="s">
        <v>66</v>
      </c>
      <c r="M236" s="7" t="s">
        <v>15</v>
      </c>
    </row>
    <row r="237" spans="1:13" ht="97.75" thickBot="1" x14ac:dyDescent="0.35">
      <c r="A237" s="7" t="s">
        <v>334</v>
      </c>
      <c r="B237" s="7" t="s">
        <v>30</v>
      </c>
      <c r="C237" s="15">
        <v>45523</v>
      </c>
      <c r="D237" s="7" t="s">
        <v>61</v>
      </c>
      <c r="E237" s="7" t="s">
        <v>81</v>
      </c>
      <c r="F237" s="8">
        <v>1257</v>
      </c>
      <c r="G237" s="8">
        <v>19</v>
      </c>
      <c r="H237" s="8">
        <v>351</v>
      </c>
      <c r="I237" s="8">
        <v>12570</v>
      </c>
      <c r="J237" s="8">
        <v>11660</v>
      </c>
      <c r="K237" s="8">
        <v>194</v>
      </c>
      <c r="L237" s="16" t="s">
        <v>335</v>
      </c>
      <c r="M237" s="7" t="s">
        <v>11</v>
      </c>
    </row>
    <row r="238" spans="1:13" ht="86.95" thickBot="1" x14ac:dyDescent="0.35">
      <c r="A238" s="7" t="s">
        <v>336</v>
      </c>
      <c r="B238" s="7" t="s">
        <v>29</v>
      </c>
      <c r="C238" s="15">
        <v>45587</v>
      </c>
      <c r="D238" s="7" t="s">
        <v>68</v>
      </c>
      <c r="E238" s="7" t="s">
        <v>69</v>
      </c>
      <c r="F238" s="8">
        <v>3770</v>
      </c>
      <c r="G238" s="8">
        <v>917</v>
      </c>
      <c r="H238" s="8">
        <v>129</v>
      </c>
      <c r="I238" s="8">
        <v>71630</v>
      </c>
      <c r="J238" s="8">
        <v>71322</v>
      </c>
      <c r="K238" s="8">
        <v>76</v>
      </c>
      <c r="L238" s="16" t="s">
        <v>85</v>
      </c>
      <c r="M238" s="7" t="s">
        <v>7</v>
      </c>
    </row>
    <row r="239" spans="1:13" ht="72.55" thickBot="1" x14ac:dyDescent="0.35">
      <c r="A239" s="7" t="s">
        <v>337</v>
      </c>
      <c r="B239" s="7" t="s">
        <v>32</v>
      </c>
      <c r="C239" s="15">
        <v>45489</v>
      </c>
      <c r="D239" s="7" t="s">
        <v>61</v>
      </c>
      <c r="E239" s="7" t="s">
        <v>62</v>
      </c>
      <c r="F239" s="8">
        <v>4725</v>
      </c>
      <c r="G239" s="8">
        <v>400</v>
      </c>
      <c r="H239" s="8">
        <v>362</v>
      </c>
      <c r="I239" s="8">
        <v>75600</v>
      </c>
      <c r="J239" s="8">
        <v>74927</v>
      </c>
      <c r="K239" s="8">
        <v>43</v>
      </c>
      <c r="L239" s="16" t="s">
        <v>85</v>
      </c>
      <c r="M239" s="7" t="s">
        <v>19</v>
      </c>
    </row>
    <row r="240" spans="1:13" ht="72.55" thickBot="1" x14ac:dyDescent="0.35">
      <c r="A240" s="7" t="s">
        <v>338</v>
      </c>
      <c r="B240" s="7" t="s">
        <v>31</v>
      </c>
      <c r="C240" s="15">
        <v>45712</v>
      </c>
      <c r="D240" s="7" t="s">
        <v>61</v>
      </c>
      <c r="E240" s="7" t="s">
        <v>111</v>
      </c>
      <c r="F240" s="8">
        <v>4188</v>
      </c>
      <c r="G240" s="8">
        <v>942</v>
      </c>
      <c r="H240" s="8">
        <v>118</v>
      </c>
      <c r="I240" s="8">
        <v>20940</v>
      </c>
      <c r="J240" s="8">
        <v>20471</v>
      </c>
      <c r="K240" s="8">
        <v>102</v>
      </c>
      <c r="L240" s="16" t="s">
        <v>85</v>
      </c>
      <c r="M240" s="7"/>
    </row>
    <row r="241" spans="1:13" ht="97.75" thickBot="1" x14ac:dyDescent="0.35">
      <c r="A241" s="7" t="s">
        <v>339</v>
      </c>
      <c r="B241" s="7" t="s">
        <v>32</v>
      </c>
      <c r="C241" s="15">
        <v>45530</v>
      </c>
      <c r="D241" s="7" t="s">
        <v>73</v>
      </c>
      <c r="E241" s="7" t="s">
        <v>76</v>
      </c>
      <c r="F241" s="8">
        <v>929</v>
      </c>
      <c r="G241" s="8">
        <v>192</v>
      </c>
      <c r="H241" s="8">
        <v>322</v>
      </c>
      <c r="I241" s="8">
        <v>16722</v>
      </c>
      <c r="J241" s="8">
        <v>15996</v>
      </c>
      <c r="K241" s="8">
        <v>145</v>
      </c>
      <c r="L241" s="16" t="s">
        <v>151</v>
      </c>
      <c r="M241" s="7" t="s">
        <v>15</v>
      </c>
    </row>
    <row r="242" spans="1:13" ht="86.95" thickBot="1" x14ac:dyDescent="0.35">
      <c r="A242" s="7" t="s">
        <v>340</v>
      </c>
      <c r="B242" s="7" t="s">
        <v>30</v>
      </c>
      <c r="C242" s="15">
        <v>45675</v>
      </c>
      <c r="D242" s="7" t="s">
        <v>68</v>
      </c>
      <c r="E242" s="7" t="s">
        <v>91</v>
      </c>
      <c r="F242" s="8">
        <v>4321</v>
      </c>
      <c r="G242" s="8">
        <v>874</v>
      </c>
      <c r="H242" s="8">
        <v>172</v>
      </c>
      <c r="I242" s="8">
        <v>30247</v>
      </c>
      <c r="J242" s="8">
        <v>29254</v>
      </c>
      <c r="K242" s="8">
        <v>122</v>
      </c>
      <c r="L242" s="16" t="s">
        <v>66</v>
      </c>
      <c r="M242" s="7" t="s">
        <v>19</v>
      </c>
    </row>
    <row r="243" spans="1:13" ht="86.95" thickBot="1" x14ac:dyDescent="0.35">
      <c r="A243" s="7" t="s">
        <v>341</v>
      </c>
      <c r="B243" s="7" t="s">
        <v>30</v>
      </c>
      <c r="C243" s="15">
        <v>45480</v>
      </c>
      <c r="D243" s="7" t="s">
        <v>57</v>
      </c>
      <c r="E243" s="7" t="s">
        <v>87</v>
      </c>
      <c r="F243" s="8">
        <v>4767</v>
      </c>
      <c r="G243" s="8">
        <v>190</v>
      </c>
      <c r="H243" s="8">
        <v>340</v>
      </c>
      <c r="I243" s="8">
        <v>28602</v>
      </c>
      <c r="J243" s="8">
        <v>28044</v>
      </c>
      <c r="K243" s="8">
        <v>210</v>
      </c>
      <c r="L243" s="16" t="s">
        <v>70</v>
      </c>
      <c r="M243" s="7" t="s">
        <v>15</v>
      </c>
    </row>
    <row r="244" spans="1:13" ht="72.55" thickBot="1" x14ac:dyDescent="0.35">
      <c r="A244" s="7" t="s">
        <v>342</v>
      </c>
      <c r="B244" s="7" t="s">
        <v>32</v>
      </c>
      <c r="C244" s="15">
        <v>45722</v>
      </c>
      <c r="D244" s="7" t="s">
        <v>78</v>
      </c>
      <c r="E244" s="7" t="s">
        <v>126</v>
      </c>
      <c r="F244" s="8">
        <v>3592</v>
      </c>
      <c r="G244" s="8">
        <v>911</v>
      </c>
      <c r="H244" s="8">
        <v>375</v>
      </c>
      <c r="I244" s="8">
        <v>50288</v>
      </c>
      <c r="J244" s="8">
        <v>49490</v>
      </c>
      <c r="K244" s="8">
        <v>32</v>
      </c>
      <c r="L244" s="16" t="s">
        <v>85</v>
      </c>
      <c r="M244" s="7" t="s">
        <v>19</v>
      </c>
    </row>
    <row r="245" spans="1:13" ht="72.55" thickBot="1" x14ac:dyDescent="0.35">
      <c r="A245" s="7" t="s">
        <v>343</v>
      </c>
      <c r="B245" s="7" t="s">
        <v>31</v>
      </c>
      <c r="C245" s="15">
        <v>45590</v>
      </c>
      <c r="D245" s="7" t="s">
        <v>93</v>
      </c>
      <c r="E245" s="7" t="s">
        <v>177</v>
      </c>
      <c r="F245" s="8">
        <v>4661</v>
      </c>
      <c r="G245" s="8">
        <v>935</v>
      </c>
      <c r="H245" s="8">
        <v>433</v>
      </c>
      <c r="I245" s="8">
        <v>23305</v>
      </c>
      <c r="J245" s="8">
        <v>22583</v>
      </c>
      <c r="K245" s="8">
        <v>63</v>
      </c>
      <c r="L245" s="16" t="s">
        <v>85</v>
      </c>
      <c r="M245" s="7" t="s">
        <v>15</v>
      </c>
    </row>
    <row r="246" spans="1:13" ht="86.95" thickBot="1" x14ac:dyDescent="0.35">
      <c r="A246" s="7" t="s">
        <v>344</v>
      </c>
      <c r="B246" s="7" t="s">
        <v>30</v>
      </c>
      <c r="C246" s="15">
        <v>45669</v>
      </c>
      <c r="D246" s="7" t="s">
        <v>57</v>
      </c>
      <c r="E246" s="7" t="s">
        <v>87</v>
      </c>
      <c r="F246" s="8">
        <v>4134</v>
      </c>
      <c r="G246" s="8">
        <v>824</v>
      </c>
      <c r="H246" s="8">
        <v>99</v>
      </c>
      <c r="I246" s="8">
        <v>41340</v>
      </c>
      <c r="J246" s="8">
        <v>41050</v>
      </c>
      <c r="K246" s="8">
        <v>177</v>
      </c>
      <c r="L246" s="16" t="s">
        <v>70</v>
      </c>
      <c r="M246" s="7" t="s">
        <v>7</v>
      </c>
    </row>
    <row r="247" spans="1:13" ht="86.95" thickBot="1" x14ac:dyDescent="0.35">
      <c r="A247" s="7" t="s">
        <v>345</v>
      </c>
      <c r="B247" s="7" t="s">
        <v>30</v>
      </c>
      <c r="C247" s="15">
        <v>45576</v>
      </c>
      <c r="D247" s="7" t="s">
        <v>78</v>
      </c>
      <c r="E247" s="7" t="s">
        <v>83</v>
      </c>
      <c r="F247" s="8">
        <v>400</v>
      </c>
      <c r="G247" s="8">
        <v>680</v>
      </c>
      <c r="H247" s="8">
        <v>434</v>
      </c>
      <c r="I247" s="8">
        <v>6400</v>
      </c>
      <c r="J247" s="8">
        <v>5472</v>
      </c>
      <c r="K247" s="8">
        <v>160</v>
      </c>
      <c r="L247" s="16" t="s">
        <v>85</v>
      </c>
      <c r="M247" s="7" t="s">
        <v>11</v>
      </c>
    </row>
    <row r="248" spans="1:13" ht="86.95" thickBot="1" x14ac:dyDescent="0.35">
      <c r="A248" s="7" t="s">
        <v>346</v>
      </c>
      <c r="B248" s="7" t="s">
        <v>30</v>
      </c>
      <c r="C248" s="15">
        <v>45531</v>
      </c>
      <c r="D248" s="7" t="s">
        <v>57</v>
      </c>
      <c r="E248" s="7" t="s">
        <v>87</v>
      </c>
      <c r="F248" s="8">
        <v>3960</v>
      </c>
      <c r="G248" s="8">
        <v>266</v>
      </c>
      <c r="H248" s="8">
        <v>8</v>
      </c>
      <c r="I248" s="8">
        <v>35640</v>
      </c>
      <c r="J248" s="8">
        <v>34850</v>
      </c>
      <c r="K248" s="8">
        <v>208</v>
      </c>
      <c r="L248" s="17" t="s">
        <v>347</v>
      </c>
      <c r="M248" s="7"/>
    </row>
    <row r="249" spans="1:13" ht="86.95" thickBot="1" x14ac:dyDescent="0.35">
      <c r="A249" s="7" t="s">
        <v>348</v>
      </c>
      <c r="B249" s="7" t="s">
        <v>30</v>
      </c>
      <c r="C249" s="15">
        <v>45690</v>
      </c>
      <c r="D249" s="7" t="s">
        <v>68</v>
      </c>
      <c r="E249" s="7" t="s">
        <v>91</v>
      </c>
      <c r="F249" s="8">
        <v>886</v>
      </c>
      <c r="G249" s="8">
        <v>126</v>
      </c>
      <c r="H249" s="8">
        <v>153</v>
      </c>
      <c r="I249" s="8">
        <v>4430</v>
      </c>
      <c r="J249" s="8">
        <v>4037</v>
      </c>
      <c r="K249" s="8">
        <v>212</v>
      </c>
      <c r="L249" s="16" t="s">
        <v>70</v>
      </c>
      <c r="M249" s="7"/>
    </row>
    <row r="250" spans="1:13" ht="72.55" thickBot="1" x14ac:dyDescent="0.35">
      <c r="A250" s="7" t="s">
        <v>349</v>
      </c>
      <c r="B250" s="7" t="s">
        <v>32</v>
      </c>
      <c r="C250" s="15">
        <v>45491</v>
      </c>
      <c r="D250" s="7" t="s">
        <v>78</v>
      </c>
      <c r="E250" s="7" t="s">
        <v>126</v>
      </c>
      <c r="F250" s="8">
        <v>827</v>
      </c>
      <c r="G250" s="8">
        <v>77</v>
      </c>
      <c r="H250" s="8">
        <v>402</v>
      </c>
      <c r="I250" s="8">
        <v>14886</v>
      </c>
      <c r="J250" s="8">
        <v>14129</v>
      </c>
      <c r="K250" s="8">
        <v>254</v>
      </c>
      <c r="L250" s="16" t="s">
        <v>70</v>
      </c>
      <c r="M250" s="7" t="s">
        <v>11</v>
      </c>
    </row>
    <row r="251" spans="1:13" ht="86.95" thickBot="1" x14ac:dyDescent="0.35">
      <c r="A251" s="7" t="s">
        <v>350</v>
      </c>
      <c r="B251" s="7" t="s">
        <v>30</v>
      </c>
      <c r="C251" s="15">
        <v>45465</v>
      </c>
      <c r="D251" s="7" t="s">
        <v>57</v>
      </c>
      <c r="E251" s="7" t="s">
        <v>87</v>
      </c>
      <c r="F251" s="8">
        <v>3813</v>
      </c>
      <c r="G251" s="8">
        <v>935</v>
      </c>
      <c r="H251" s="8">
        <v>274</v>
      </c>
      <c r="I251" s="8">
        <v>68634</v>
      </c>
      <c r="J251" s="8">
        <v>68488</v>
      </c>
      <c r="K251" s="8">
        <v>251</v>
      </c>
      <c r="L251" s="16" t="s">
        <v>85</v>
      </c>
      <c r="M251" s="7"/>
    </row>
    <row r="252" spans="1:13" ht="101.35" thickBot="1" x14ac:dyDescent="0.35">
      <c r="A252" s="7" t="s">
        <v>351</v>
      </c>
      <c r="B252" s="7" t="s">
        <v>29</v>
      </c>
      <c r="C252" s="15">
        <v>45743</v>
      </c>
      <c r="D252" s="7" t="s">
        <v>73</v>
      </c>
      <c r="E252" s="7" t="s">
        <v>102</v>
      </c>
      <c r="F252" s="8">
        <v>1377</v>
      </c>
      <c r="G252" s="8">
        <v>796</v>
      </c>
      <c r="H252" s="8">
        <v>387</v>
      </c>
      <c r="I252" s="8">
        <v>22032</v>
      </c>
      <c r="J252" s="8">
        <v>21869</v>
      </c>
      <c r="K252" s="8">
        <v>189</v>
      </c>
      <c r="L252" s="16" t="s">
        <v>85</v>
      </c>
      <c r="M252" s="7"/>
    </row>
    <row r="253" spans="1:13" ht="101.35" thickBot="1" x14ac:dyDescent="0.35">
      <c r="A253" s="7" t="s">
        <v>352</v>
      </c>
      <c r="B253" s="7" t="s">
        <v>30</v>
      </c>
      <c r="C253" s="15">
        <v>45775</v>
      </c>
      <c r="D253" s="7" t="s">
        <v>73</v>
      </c>
      <c r="E253" s="7" t="s">
        <v>74</v>
      </c>
      <c r="F253" s="8">
        <v>2089</v>
      </c>
      <c r="G253" s="8">
        <v>476</v>
      </c>
      <c r="H253" s="8">
        <v>69</v>
      </c>
      <c r="I253" s="8">
        <v>16712</v>
      </c>
      <c r="J253" s="8">
        <v>16309</v>
      </c>
      <c r="K253" s="8">
        <v>64</v>
      </c>
      <c r="L253" s="16" t="s">
        <v>85</v>
      </c>
      <c r="M253" s="7" t="s">
        <v>15</v>
      </c>
    </row>
    <row r="254" spans="1:13" ht="72.55" thickBot="1" x14ac:dyDescent="0.35">
      <c r="A254" s="7" t="s">
        <v>353</v>
      </c>
      <c r="B254" s="7" t="s">
        <v>32</v>
      </c>
      <c r="C254" s="15">
        <v>45507</v>
      </c>
      <c r="D254" s="7" t="s">
        <v>57</v>
      </c>
      <c r="E254" s="7" t="s">
        <v>58</v>
      </c>
      <c r="F254" s="8">
        <v>3791</v>
      </c>
      <c r="G254" s="8">
        <v>593</v>
      </c>
      <c r="H254" s="8">
        <v>228</v>
      </c>
      <c r="I254" s="8">
        <v>53074</v>
      </c>
      <c r="J254" s="8">
        <v>52613</v>
      </c>
      <c r="K254" s="8">
        <v>205</v>
      </c>
      <c r="L254" s="16" t="s">
        <v>70</v>
      </c>
      <c r="M254" s="7"/>
    </row>
    <row r="255" spans="1:13" ht="72.55" thickBot="1" x14ac:dyDescent="0.35">
      <c r="A255" s="7" t="s">
        <v>354</v>
      </c>
      <c r="B255" s="7" t="s">
        <v>32</v>
      </c>
      <c r="C255" s="15">
        <v>45671</v>
      </c>
      <c r="D255" s="7" t="s">
        <v>78</v>
      </c>
      <c r="E255" s="7" t="s">
        <v>126</v>
      </c>
      <c r="F255" s="8">
        <v>2692</v>
      </c>
      <c r="G255" s="8">
        <v>115</v>
      </c>
      <c r="H255" s="8">
        <v>64</v>
      </c>
      <c r="I255" s="8">
        <v>21536</v>
      </c>
      <c r="J255" s="8">
        <v>21120</v>
      </c>
      <c r="K255" s="8">
        <v>224</v>
      </c>
      <c r="L255" s="16" t="s">
        <v>85</v>
      </c>
      <c r="M255" s="7" t="s">
        <v>11</v>
      </c>
    </row>
    <row r="256" spans="1:13" ht="86.95" thickBot="1" x14ac:dyDescent="0.35">
      <c r="A256" s="7" t="s">
        <v>355</v>
      </c>
      <c r="B256" s="7" t="s">
        <v>30</v>
      </c>
      <c r="C256" s="15">
        <v>45750</v>
      </c>
      <c r="D256" s="7" t="s">
        <v>68</v>
      </c>
      <c r="E256" s="7" t="s">
        <v>91</v>
      </c>
      <c r="F256" s="8">
        <v>3767</v>
      </c>
      <c r="G256" s="8">
        <v>514</v>
      </c>
      <c r="H256" s="8">
        <v>238</v>
      </c>
      <c r="I256" s="8">
        <v>37670</v>
      </c>
      <c r="J256" s="8">
        <v>36807</v>
      </c>
      <c r="K256" s="8">
        <v>226</v>
      </c>
      <c r="L256" s="16" t="s">
        <v>85</v>
      </c>
      <c r="M256" s="7" t="s">
        <v>19</v>
      </c>
    </row>
    <row r="257" spans="1:13" ht="86.95" thickBot="1" x14ac:dyDescent="0.35">
      <c r="A257" s="7" t="s">
        <v>356</v>
      </c>
      <c r="B257" s="7" t="s">
        <v>31</v>
      </c>
      <c r="C257" s="15">
        <v>45553</v>
      </c>
      <c r="D257" s="7" t="s">
        <v>73</v>
      </c>
      <c r="E257" s="7" t="s">
        <v>89</v>
      </c>
      <c r="F257" s="8">
        <v>2143</v>
      </c>
      <c r="G257" s="8">
        <v>12</v>
      </c>
      <c r="H257" s="8">
        <v>204</v>
      </c>
      <c r="I257" s="8">
        <v>40717</v>
      </c>
      <c r="J257" s="8">
        <v>40125</v>
      </c>
      <c r="K257" s="8">
        <v>248</v>
      </c>
      <c r="L257" s="16" t="s">
        <v>70</v>
      </c>
      <c r="M257" s="7" t="s">
        <v>11</v>
      </c>
    </row>
    <row r="258" spans="1:13" ht="97.75" thickBot="1" x14ac:dyDescent="0.35">
      <c r="A258" s="7" t="s">
        <v>357</v>
      </c>
      <c r="B258" s="7" t="s">
        <v>30</v>
      </c>
      <c r="C258" s="15">
        <v>45753</v>
      </c>
      <c r="D258" s="7" t="s">
        <v>78</v>
      </c>
      <c r="E258" s="7" t="s">
        <v>83</v>
      </c>
      <c r="F258" s="8">
        <v>3090</v>
      </c>
      <c r="G258" s="8">
        <v>697</v>
      </c>
      <c r="H258" s="8">
        <v>164</v>
      </c>
      <c r="I258" s="8">
        <v>49440</v>
      </c>
      <c r="J258" s="8">
        <v>48524</v>
      </c>
      <c r="K258" s="8">
        <v>25</v>
      </c>
      <c r="L258" s="16" t="s">
        <v>358</v>
      </c>
      <c r="M258" s="7" t="s">
        <v>11</v>
      </c>
    </row>
    <row r="259" spans="1:13" ht="86.95" thickBot="1" x14ac:dyDescent="0.35">
      <c r="A259" s="7" t="s">
        <v>359</v>
      </c>
      <c r="B259" s="7" t="s">
        <v>29</v>
      </c>
      <c r="C259" s="15">
        <v>45509</v>
      </c>
      <c r="D259" s="7" t="s">
        <v>68</v>
      </c>
      <c r="E259" s="7" t="s">
        <v>69</v>
      </c>
      <c r="F259" s="8">
        <v>3601</v>
      </c>
      <c r="G259" s="8">
        <v>695</v>
      </c>
      <c r="H259" s="8">
        <v>75</v>
      </c>
      <c r="I259" s="8">
        <v>21606</v>
      </c>
      <c r="J259" s="8">
        <v>21454</v>
      </c>
      <c r="K259" s="8">
        <v>172</v>
      </c>
      <c r="L259" s="16" t="s">
        <v>70</v>
      </c>
      <c r="M259" s="7" t="s">
        <v>11</v>
      </c>
    </row>
    <row r="260" spans="1:13" ht="86.95" thickBot="1" x14ac:dyDescent="0.35">
      <c r="A260" s="7" t="s">
        <v>360</v>
      </c>
      <c r="B260" s="7" t="s">
        <v>30</v>
      </c>
      <c r="C260" s="15">
        <v>45698</v>
      </c>
      <c r="D260" s="7" t="s">
        <v>61</v>
      </c>
      <c r="E260" s="7" t="s">
        <v>81</v>
      </c>
      <c r="F260" s="8">
        <v>562</v>
      </c>
      <c r="G260" s="8">
        <v>158</v>
      </c>
      <c r="H260" s="8">
        <v>149</v>
      </c>
      <c r="I260" s="8">
        <v>3372</v>
      </c>
      <c r="J260" s="8">
        <v>2940</v>
      </c>
      <c r="K260" s="8">
        <v>93</v>
      </c>
      <c r="L260" s="16" t="s">
        <v>66</v>
      </c>
      <c r="M260" s="7" t="s">
        <v>7</v>
      </c>
    </row>
    <row r="261" spans="1:13" ht="97.75" thickBot="1" x14ac:dyDescent="0.35">
      <c r="A261" s="7" t="s">
        <v>361</v>
      </c>
      <c r="B261" s="7" t="s">
        <v>29</v>
      </c>
      <c r="C261" s="15">
        <v>45700</v>
      </c>
      <c r="D261" s="7" t="s">
        <v>68</v>
      </c>
      <c r="E261" s="7" t="s">
        <v>69</v>
      </c>
      <c r="F261" s="8">
        <v>4332</v>
      </c>
      <c r="G261" s="8">
        <v>771</v>
      </c>
      <c r="H261" s="8">
        <v>219</v>
      </c>
      <c r="I261" s="8">
        <v>60648</v>
      </c>
      <c r="J261" s="8">
        <v>60397</v>
      </c>
      <c r="K261" s="8">
        <v>10</v>
      </c>
      <c r="L261" s="16" t="s">
        <v>362</v>
      </c>
      <c r="M261" s="7" t="s">
        <v>15</v>
      </c>
    </row>
    <row r="262" spans="1:13" ht="86.95" thickBot="1" x14ac:dyDescent="0.35">
      <c r="A262" s="7" t="s">
        <v>363</v>
      </c>
      <c r="B262" s="7" t="s">
        <v>29</v>
      </c>
      <c r="C262" s="15">
        <v>45592</v>
      </c>
      <c r="D262" s="7" t="s">
        <v>78</v>
      </c>
      <c r="E262" s="7" t="s">
        <v>174</v>
      </c>
      <c r="F262" s="8">
        <v>4853</v>
      </c>
      <c r="G262" s="8">
        <v>837</v>
      </c>
      <c r="H262" s="8">
        <v>340</v>
      </c>
      <c r="I262" s="8">
        <v>72795</v>
      </c>
      <c r="J262" s="8">
        <v>72237</v>
      </c>
      <c r="K262" s="8">
        <v>170</v>
      </c>
      <c r="L262" s="16" t="s">
        <v>70</v>
      </c>
      <c r="M262" s="7" t="s">
        <v>7</v>
      </c>
    </row>
    <row r="263" spans="1:13" ht="72.55" thickBot="1" x14ac:dyDescent="0.35">
      <c r="A263" s="7" t="s">
        <v>364</v>
      </c>
      <c r="B263" s="7" t="s">
        <v>31</v>
      </c>
      <c r="C263" s="15">
        <v>45675</v>
      </c>
      <c r="D263" s="7" t="s">
        <v>78</v>
      </c>
      <c r="E263" s="7" t="s">
        <v>79</v>
      </c>
      <c r="F263" s="8">
        <v>1206</v>
      </c>
      <c r="G263" s="8">
        <v>238</v>
      </c>
      <c r="H263" s="8">
        <v>36</v>
      </c>
      <c r="I263" s="8">
        <v>9648</v>
      </c>
      <c r="J263" s="8">
        <v>9417</v>
      </c>
      <c r="K263" s="8">
        <v>237</v>
      </c>
      <c r="L263" s="16" t="s">
        <v>66</v>
      </c>
      <c r="M263" s="7"/>
    </row>
    <row r="264" spans="1:13" ht="86.95" thickBot="1" x14ac:dyDescent="0.35">
      <c r="A264" s="7" t="s">
        <v>365</v>
      </c>
      <c r="B264" s="7" t="s">
        <v>29</v>
      </c>
      <c r="C264" s="15">
        <v>45524</v>
      </c>
      <c r="D264" s="7" t="s">
        <v>57</v>
      </c>
      <c r="E264" s="7" t="s">
        <v>98</v>
      </c>
      <c r="F264" s="8">
        <v>2603</v>
      </c>
      <c r="G264" s="8">
        <v>690</v>
      </c>
      <c r="H264" s="8">
        <v>205</v>
      </c>
      <c r="I264" s="8">
        <v>13015</v>
      </c>
      <c r="J264" s="8">
        <v>12130</v>
      </c>
      <c r="K264" s="8">
        <v>20</v>
      </c>
      <c r="L264" s="16" t="s">
        <v>85</v>
      </c>
      <c r="M264" s="7" t="s">
        <v>11</v>
      </c>
    </row>
    <row r="265" spans="1:13" ht="72.55" thickBot="1" x14ac:dyDescent="0.35">
      <c r="A265" s="7" t="s">
        <v>366</v>
      </c>
      <c r="B265" s="7" t="s">
        <v>32</v>
      </c>
      <c r="C265" s="15">
        <v>45687</v>
      </c>
      <c r="D265" s="7" t="s">
        <v>78</v>
      </c>
      <c r="E265" s="7" t="s">
        <v>126</v>
      </c>
      <c r="F265" s="8">
        <v>59</v>
      </c>
      <c r="G265" s="8">
        <v>163</v>
      </c>
      <c r="H265" s="8">
        <v>93</v>
      </c>
      <c r="I265" s="8">
        <v>590</v>
      </c>
      <c r="J265" s="8">
        <v>475</v>
      </c>
      <c r="K265" s="8">
        <v>293</v>
      </c>
      <c r="L265" s="16" t="s">
        <v>66</v>
      </c>
      <c r="M265" s="7" t="s">
        <v>11</v>
      </c>
    </row>
    <row r="266" spans="1:13" ht="86.95" thickBot="1" x14ac:dyDescent="0.35">
      <c r="A266" s="7" t="s">
        <v>367</v>
      </c>
      <c r="B266" s="7" t="s">
        <v>32</v>
      </c>
      <c r="C266" s="15">
        <v>45708</v>
      </c>
      <c r="D266" s="7" t="s">
        <v>73</v>
      </c>
      <c r="E266" s="7" t="s">
        <v>76</v>
      </c>
      <c r="F266" s="8">
        <v>1877</v>
      </c>
      <c r="G266" s="8">
        <v>745</v>
      </c>
      <c r="H266" s="8">
        <v>225</v>
      </c>
      <c r="I266" s="8">
        <v>11262</v>
      </c>
      <c r="J266" s="8">
        <v>10967</v>
      </c>
      <c r="K266" s="8">
        <v>41</v>
      </c>
      <c r="L266" s="16" t="s">
        <v>70</v>
      </c>
      <c r="M266" s="7" t="s">
        <v>19</v>
      </c>
    </row>
    <row r="267" spans="1:13" ht="86.95" thickBot="1" x14ac:dyDescent="0.35">
      <c r="A267" s="7" t="s">
        <v>368</v>
      </c>
      <c r="B267" s="7" t="s">
        <v>30</v>
      </c>
      <c r="C267" s="15">
        <v>45621</v>
      </c>
      <c r="D267" s="7" t="s">
        <v>68</v>
      </c>
      <c r="E267" s="7" t="s">
        <v>91</v>
      </c>
      <c r="F267" s="8">
        <v>4182</v>
      </c>
      <c r="G267" s="8">
        <v>640</v>
      </c>
      <c r="H267" s="8">
        <v>240</v>
      </c>
      <c r="I267" s="8">
        <v>50184</v>
      </c>
      <c r="J267" s="8">
        <v>49351</v>
      </c>
      <c r="K267" s="8">
        <v>10</v>
      </c>
      <c r="L267" s="16" t="s">
        <v>66</v>
      </c>
      <c r="M267" s="7" t="s">
        <v>15</v>
      </c>
    </row>
    <row r="268" spans="1:13" ht="72.55" thickBot="1" x14ac:dyDescent="0.35">
      <c r="A268" s="7" t="s">
        <v>369</v>
      </c>
      <c r="B268" s="7" t="s">
        <v>32</v>
      </c>
      <c r="C268" s="15">
        <v>45569</v>
      </c>
      <c r="D268" s="7" t="s">
        <v>57</v>
      </c>
      <c r="E268" s="7" t="s">
        <v>58</v>
      </c>
      <c r="F268" s="8">
        <v>4187</v>
      </c>
      <c r="G268" s="8">
        <v>66</v>
      </c>
      <c r="H268" s="8">
        <v>31</v>
      </c>
      <c r="I268" s="8">
        <v>66992</v>
      </c>
      <c r="J268" s="8">
        <v>66614</v>
      </c>
      <c r="K268" s="8">
        <v>62</v>
      </c>
      <c r="L268" s="16" t="s">
        <v>85</v>
      </c>
      <c r="M268" s="7"/>
    </row>
    <row r="269" spans="1:13" ht="86.95" thickBot="1" x14ac:dyDescent="0.35">
      <c r="A269" s="7" t="s">
        <v>370</v>
      </c>
      <c r="B269" s="7" t="s">
        <v>29</v>
      </c>
      <c r="C269" s="15">
        <v>45760</v>
      </c>
      <c r="D269" s="7" t="s">
        <v>57</v>
      </c>
      <c r="E269" s="7" t="s">
        <v>98</v>
      </c>
      <c r="F269" s="8">
        <v>4579</v>
      </c>
      <c r="G269" s="8">
        <v>125</v>
      </c>
      <c r="H269" s="8">
        <v>300</v>
      </c>
      <c r="I269" s="8">
        <v>59527</v>
      </c>
      <c r="J269" s="8">
        <v>59400</v>
      </c>
      <c r="K269" s="8">
        <v>269</v>
      </c>
      <c r="L269" s="16" t="s">
        <v>70</v>
      </c>
      <c r="M269" s="7" t="s">
        <v>7</v>
      </c>
    </row>
    <row r="270" spans="1:13" ht="86.95" thickBot="1" x14ac:dyDescent="0.35">
      <c r="A270" s="7" t="s">
        <v>371</v>
      </c>
      <c r="B270" s="7" t="s">
        <v>29</v>
      </c>
      <c r="C270" s="15">
        <v>45601</v>
      </c>
      <c r="D270" s="7" t="s">
        <v>93</v>
      </c>
      <c r="E270" s="7" t="s">
        <v>100</v>
      </c>
      <c r="F270" s="8">
        <v>4561</v>
      </c>
      <c r="G270" s="8">
        <v>51</v>
      </c>
      <c r="H270" s="8">
        <v>441</v>
      </c>
      <c r="I270" s="8">
        <v>22805</v>
      </c>
      <c r="J270" s="8">
        <v>21890</v>
      </c>
      <c r="K270" s="8">
        <v>45</v>
      </c>
      <c r="L270" s="16" t="s">
        <v>66</v>
      </c>
      <c r="M270" s="7" t="s">
        <v>11</v>
      </c>
    </row>
    <row r="271" spans="1:13" ht="72.55" thickBot="1" x14ac:dyDescent="0.35">
      <c r="A271" s="7" t="s">
        <v>372</v>
      </c>
      <c r="B271" s="7" t="s">
        <v>31</v>
      </c>
      <c r="C271" s="15">
        <v>45672</v>
      </c>
      <c r="D271" s="7" t="s">
        <v>57</v>
      </c>
      <c r="E271" s="7" t="s">
        <v>65</v>
      </c>
      <c r="F271" s="8">
        <v>3774</v>
      </c>
      <c r="G271" s="8">
        <v>239</v>
      </c>
      <c r="H271" s="8">
        <v>39</v>
      </c>
      <c r="I271" s="8">
        <v>60384</v>
      </c>
      <c r="J271" s="8">
        <v>59490</v>
      </c>
      <c r="K271" s="8">
        <v>241</v>
      </c>
      <c r="L271" s="16" t="s">
        <v>66</v>
      </c>
      <c r="M271" s="7" t="s">
        <v>15</v>
      </c>
    </row>
    <row r="272" spans="1:13" ht="86.95" thickBot="1" x14ac:dyDescent="0.35">
      <c r="A272" s="7" t="s">
        <v>373</v>
      </c>
      <c r="B272" s="7" t="s">
        <v>29</v>
      </c>
      <c r="C272" s="15">
        <v>45582</v>
      </c>
      <c r="D272" s="7" t="s">
        <v>93</v>
      </c>
      <c r="E272" s="7" t="s">
        <v>100</v>
      </c>
      <c r="F272" s="8">
        <v>3575</v>
      </c>
      <c r="G272" s="8">
        <v>749</v>
      </c>
      <c r="H272" s="8">
        <v>111</v>
      </c>
      <c r="I272" s="8">
        <v>21450</v>
      </c>
      <c r="J272" s="8">
        <v>20785</v>
      </c>
      <c r="K272" s="8">
        <v>195</v>
      </c>
      <c r="L272" s="16" t="s">
        <v>70</v>
      </c>
      <c r="M272" s="7" t="s">
        <v>11</v>
      </c>
    </row>
    <row r="273" spans="1:13" ht="86.95" thickBot="1" x14ac:dyDescent="0.35">
      <c r="A273" s="7" t="s">
        <v>374</v>
      </c>
      <c r="B273" s="7" t="s">
        <v>29</v>
      </c>
      <c r="C273" s="15">
        <v>45743</v>
      </c>
      <c r="D273" s="7" t="s">
        <v>61</v>
      </c>
      <c r="E273" s="7" t="s">
        <v>116</v>
      </c>
      <c r="F273" s="8">
        <v>4941</v>
      </c>
      <c r="G273" s="8">
        <v>414</v>
      </c>
      <c r="H273" s="8">
        <v>266</v>
      </c>
      <c r="I273" s="8">
        <v>39528</v>
      </c>
      <c r="J273" s="8">
        <v>39154</v>
      </c>
      <c r="K273" s="8">
        <v>217</v>
      </c>
      <c r="L273" s="16" t="s">
        <v>66</v>
      </c>
      <c r="M273" s="7" t="s">
        <v>15</v>
      </c>
    </row>
    <row r="274" spans="1:13" ht="72.55" thickBot="1" x14ac:dyDescent="0.35">
      <c r="A274" s="7" t="s">
        <v>375</v>
      </c>
      <c r="B274" s="7" t="s">
        <v>31</v>
      </c>
      <c r="C274" s="15">
        <v>45577</v>
      </c>
      <c r="D274" s="7" t="s">
        <v>68</v>
      </c>
      <c r="E274" s="7" t="s">
        <v>139</v>
      </c>
      <c r="F274" s="8">
        <v>3641</v>
      </c>
      <c r="G274" s="8">
        <v>226</v>
      </c>
      <c r="H274" s="8">
        <v>46</v>
      </c>
      <c r="I274" s="8">
        <v>40051</v>
      </c>
      <c r="J274" s="8">
        <v>39319</v>
      </c>
      <c r="K274" s="8">
        <v>296</v>
      </c>
      <c r="L274" s="16" t="s">
        <v>70</v>
      </c>
      <c r="M274" s="7" t="s">
        <v>19</v>
      </c>
    </row>
    <row r="275" spans="1:13" ht="86.95" thickBot="1" x14ac:dyDescent="0.35">
      <c r="A275" s="7" t="s">
        <v>376</v>
      </c>
      <c r="B275" s="7" t="s">
        <v>32</v>
      </c>
      <c r="C275" s="15">
        <v>45658</v>
      </c>
      <c r="D275" s="7" t="s">
        <v>73</v>
      </c>
      <c r="E275" s="7" t="s">
        <v>76</v>
      </c>
      <c r="F275" s="8">
        <v>3535</v>
      </c>
      <c r="G275" s="8">
        <v>494</v>
      </c>
      <c r="H275" s="8">
        <v>152</v>
      </c>
      <c r="I275" s="8">
        <v>53025</v>
      </c>
      <c r="J275" s="8">
        <v>52791</v>
      </c>
      <c r="K275" s="8">
        <v>44</v>
      </c>
      <c r="L275" s="16" t="s">
        <v>66</v>
      </c>
      <c r="M275" s="7" t="s">
        <v>19</v>
      </c>
    </row>
    <row r="276" spans="1:13" ht="86.95" thickBot="1" x14ac:dyDescent="0.35">
      <c r="A276" s="7" t="s">
        <v>377</v>
      </c>
      <c r="B276" s="7" t="s">
        <v>30</v>
      </c>
      <c r="C276" s="15">
        <v>45509</v>
      </c>
      <c r="D276" s="7" t="s">
        <v>57</v>
      </c>
      <c r="E276" s="7" t="s">
        <v>87</v>
      </c>
      <c r="F276" s="8">
        <v>1741</v>
      </c>
      <c r="G276" s="8">
        <v>831</v>
      </c>
      <c r="H276" s="8">
        <v>345</v>
      </c>
      <c r="I276" s="8">
        <v>17410</v>
      </c>
      <c r="J276" s="8">
        <v>16844</v>
      </c>
      <c r="K276" s="8">
        <v>58</v>
      </c>
      <c r="L276" s="16" t="s">
        <v>70</v>
      </c>
      <c r="M276" s="7" t="s">
        <v>15</v>
      </c>
    </row>
    <row r="277" spans="1:13" ht="86.95" thickBot="1" x14ac:dyDescent="0.35">
      <c r="A277" s="7" t="s">
        <v>378</v>
      </c>
      <c r="B277" s="7" t="s">
        <v>32</v>
      </c>
      <c r="C277" s="15">
        <v>45450</v>
      </c>
      <c r="D277" s="7" t="s">
        <v>73</v>
      </c>
      <c r="E277" s="7" t="s">
        <v>76</v>
      </c>
      <c r="F277" s="8">
        <v>1556</v>
      </c>
      <c r="G277" s="8">
        <v>195</v>
      </c>
      <c r="H277" s="8">
        <v>131</v>
      </c>
      <c r="I277" s="8">
        <v>9336</v>
      </c>
      <c r="J277" s="8">
        <v>8875</v>
      </c>
      <c r="K277" s="8">
        <v>137</v>
      </c>
      <c r="L277" s="16" t="s">
        <v>66</v>
      </c>
      <c r="M277" s="7" t="s">
        <v>11</v>
      </c>
    </row>
    <row r="278" spans="1:13" ht="86.95" thickBot="1" x14ac:dyDescent="0.35">
      <c r="A278" s="7" t="s">
        <v>379</v>
      </c>
      <c r="B278" s="7" t="s">
        <v>30</v>
      </c>
      <c r="C278" s="15">
        <v>45753</v>
      </c>
      <c r="D278" s="7" t="s">
        <v>78</v>
      </c>
      <c r="E278" s="7" t="s">
        <v>83</v>
      </c>
      <c r="F278" s="8">
        <v>4236</v>
      </c>
      <c r="G278" s="8">
        <v>711</v>
      </c>
      <c r="H278" s="8">
        <v>298</v>
      </c>
      <c r="I278" s="8">
        <v>21180</v>
      </c>
      <c r="J278" s="8">
        <v>20516</v>
      </c>
      <c r="K278" s="8">
        <v>238</v>
      </c>
      <c r="L278" s="16" t="s">
        <v>85</v>
      </c>
      <c r="M278" s="7" t="s">
        <v>7</v>
      </c>
    </row>
    <row r="279" spans="1:13" ht="72.55" thickBot="1" x14ac:dyDescent="0.35">
      <c r="A279" s="7" t="s">
        <v>380</v>
      </c>
      <c r="B279" s="7" t="s">
        <v>32</v>
      </c>
      <c r="C279" s="15">
        <v>45622</v>
      </c>
      <c r="D279" s="7" t="s">
        <v>61</v>
      </c>
      <c r="E279" s="7" t="s">
        <v>62</v>
      </c>
      <c r="F279" s="8">
        <v>4516</v>
      </c>
      <c r="G279" s="8">
        <v>836</v>
      </c>
      <c r="H279" s="8">
        <v>169</v>
      </c>
      <c r="I279" s="8">
        <v>49676</v>
      </c>
      <c r="J279" s="8">
        <v>49257</v>
      </c>
      <c r="K279" s="8">
        <v>282</v>
      </c>
      <c r="L279" s="16" t="s">
        <v>70</v>
      </c>
      <c r="M279" s="7" t="s">
        <v>19</v>
      </c>
    </row>
    <row r="280" spans="1:13" ht="72.55" thickBot="1" x14ac:dyDescent="0.35">
      <c r="A280" s="7" t="s">
        <v>381</v>
      </c>
      <c r="B280" s="7" t="s">
        <v>31</v>
      </c>
      <c r="C280" s="15">
        <v>45537</v>
      </c>
      <c r="D280" s="7" t="s">
        <v>78</v>
      </c>
      <c r="E280" s="7" t="s">
        <v>79</v>
      </c>
      <c r="F280" s="8">
        <v>4905</v>
      </c>
      <c r="G280" s="8">
        <v>845</v>
      </c>
      <c r="H280" s="8">
        <v>129</v>
      </c>
      <c r="I280" s="8">
        <v>98100</v>
      </c>
      <c r="J280" s="8">
        <v>97772</v>
      </c>
      <c r="K280" s="8">
        <v>279</v>
      </c>
      <c r="L280" s="16" t="s">
        <v>66</v>
      </c>
      <c r="M280" s="7" t="s">
        <v>11</v>
      </c>
    </row>
    <row r="281" spans="1:13" ht="97.75" thickBot="1" x14ac:dyDescent="0.35">
      <c r="A281" s="7" t="s">
        <v>382</v>
      </c>
      <c r="B281" s="7" t="s">
        <v>31</v>
      </c>
      <c r="C281" s="15">
        <v>45586</v>
      </c>
      <c r="D281" s="7" t="s">
        <v>93</v>
      </c>
      <c r="E281" s="7" t="s">
        <v>177</v>
      </c>
      <c r="F281" s="8">
        <v>4275</v>
      </c>
      <c r="G281" s="8">
        <v>680</v>
      </c>
      <c r="H281" s="8">
        <v>385</v>
      </c>
      <c r="I281" s="8">
        <v>64125</v>
      </c>
      <c r="J281" s="8">
        <v>63650</v>
      </c>
      <c r="K281" s="8">
        <v>104</v>
      </c>
      <c r="L281" s="16" t="s">
        <v>151</v>
      </c>
      <c r="M281" s="7" t="s">
        <v>19</v>
      </c>
    </row>
    <row r="282" spans="1:13" ht="72.55" thickBot="1" x14ac:dyDescent="0.35">
      <c r="A282" s="7" t="s">
        <v>383</v>
      </c>
      <c r="B282" s="7" t="s">
        <v>31</v>
      </c>
      <c r="C282" s="15">
        <v>45738</v>
      </c>
      <c r="D282" s="7" t="s">
        <v>78</v>
      </c>
      <c r="E282" s="7" t="s">
        <v>79</v>
      </c>
      <c r="F282" s="8">
        <v>3166</v>
      </c>
      <c r="G282" s="8">
        <v>90</v>
      </c>
      <c r="H282" s="8">
        <v>341</v>
      </c>
      <c r="I282" s="8">
        <v>56988</v>
      </c>
      <c r="J282" s="8">
        <v>56125</v>
      </c>
      <c r="K282" s="8">
        <v>135</v>
      </c>
      <c r="L282" s="16" t="s">
        <v>70</v>
      </c>
      <c r="M282" s="7" t="s">
        <v>11</v>
      </c>
    </row>
    <row r="283" spans="1:13" ht="86.95" thickBot="1" x14ac:dyDescent="0.35">
      <c r="A283" s="7" t="s">
        <v>384</v>
      </c>
      <c r="B283" s="7" t="s">
        <v>29</v>
      </c>
      <c r="C283" s="15">
        <v>45568</v>
      </c>
      <c r="D283" s="7" t="s">
        <v>93</v>
      </c>
      <c r="E283" s="7" t="s">
        <v>100</v>
      </c>
      <c r="F283" s="8">
        <v>1488</v>
      </c>
      <c r="G283" s="8">
        <v>417</v>
      </c>
      <c r="H283" s="8">
        <v>168</v>
      </c>
      <c r="I283" s="8">
        <v>19344</v>
      </c>
      <c r="J283" s="8">
        <v>18395</v>
      </c>
      <c r="K283" s="8">
        <v>30</v>
      </c>
      <c r="L283" s="16" t="s">
        <v>85</v>
      </c>
      <c r="M283" s="7" t="s">
        <v>15</v>
      </c>
    </row>
    <row r="284" spans="1:13" ht="72.55" thickBot="1" x14ac:dyDescent="0.35">
      <c r="A284" s="7" t="s">
        <v>385</v>
      </c>
      <c r="B284" s="7" t="s">
        <v>32</v>
      </c>
      <c r="C284" s="15">
        <v>45786</v>
      </c>
      <c r="D284" s="7" t="s">
        <v>57</v>
      </c>
      <c r="E284" s="7" t="s">
        <v>58</v>
      </c>
      <c r="F284" s="8">
        <v>3367</v>
      </c>
      <c r="G284" s="8">
        <v>302</v>
      </c>
      <c r="H284" s="8">
        <v>57</v>
      </c>
      <c r="I284" s="8">
        <v>63973</v>
      </c>
      <c r="J284" s="8">
        <v>63789</v>
      </c>
      <c r="K284" s="8">
        <v>157</v>
      </c>
      <c r="L284" s="16" t="s">
        <v>85</v>
      </c>
      <c r="M284" s="7" t="s">
        <v>11</v>
      </c>
    </row>
    <row r="285" spans="1:13" ht="72.55" thickBot="1" x14ac:dyDescent="0.35">
      <c r="A285" s="7" t="s">
        <v>386</v>
      </c>
      <c r="B285" s="7" t="s">
        <v>32</v>
      </c>
      <c r="C285" s="15">
        <v>45552</v>
      </c>
      <c r="D285" s="7" t="s">
        <v>61</v>
      </c>
      <c r="E285" s="7" t="s">
        <v>62</v>
      </c>
      <c r="F285" s="8">
        <v>571</v>
      </c>
      <c r="G285" s="8">
        <v>190</v>
      </c>
      <c r="H285" s="8">
        <v>352</v>
      </c>
      <c r="I285" s="8">
        <v>9707</v>
      </c>
      <c r="J285" s="8">
        <v>9418</v>
      </c>
      <c r="K285" s="8">
        <v>231</v>
      </c>
      <c r="L285" s="16" t="s">
        <v>66</v>
      </c>
      <c r="M285" s="7" t="s">
        <v>19</v>
      </c>
    </row>
    <row r="286" spans="1:13" ht="72.55" thickBot="1" x14ac:dyDescent="0.35">
      <c r="A286" s="7" t="s">
        <v>387</v>
      </c>
      <c r="B286" s="7" t="s">
        <v>31</v>
      </c>
      <c r="C286" s="15">
        <v>45491</v>
      </c>
      <c r="D286" s="7" t="s">
        <v>61</v>
      </c>
      <c r="E286" s="7" t="s">
        <v>111</v>
      </c>
      <c r="F286" s="8">
        <v>4021</v>
      </c>
      <c r="G286" s="8">
        <v>794</v>
      </c>
      <c r="H286" s="8">
        <v>77</v>
      </c>
      <c r="I286" s="8">
        <v>36189</v>
      </c>
      <c r="J286" s="8">
        <v>35505</v>
      </c>
      <c r="K286" s="8">
        <v>174</v>
      </c>
      <c r="L286" s="16" t="s">
        <v>70</v>
      </c>
      <c r="M286" s="7"/>
    </row>
    <row r="287" spans="1:13" ht="72.55" thickBot="1" x14ac:dyDescent="0.35">
      <c r="A287" s="7" t="s">
        <v>388</v>
      </c>
      <c r="B287" s="7" t="s">
        <v>31</v>
      </c>
      <c r="C287" s="15">
        <v>45560</v>
      </c>
      <c r="D287" s="7" t="s">
        <v>93</v>
      </c>
      <c r="E287" s="7" t="s">
        <v>177</v>
      </c>
      <c r="F287" s="8">
        <v>3389</v>
      </c>
      <c r="G287" s="8">
        <v>344</v>
      </c>
      <c r="H287" s="8">
        <v>229</v>
      </c>
      <c r="I287" s="8">
        <v>20334</v>
      </c>
      <c r="J287" s="8">
        <v>19443</v>
      </c>
      <c r="K287" s="8">
        <v>228</v>
      </c>
      <c r="L287" s="16" t="s">
        <v>85</v>
      </c>
      <c r="M287" s="7" t="s">
        <v>15</v>
      </c>
    </row>
    <row r="288" spans="1:13" ht="86.95" thickBot="1" x14ac:dyDescent="0.35">
      <c r="A288" s="7" t="s">
        <v>389</v>
      </c>
      <c r="B288" s="7" t="s">
        <v>29</v>
      </c>
      <c r="C288" s="15">
        <v>45519</v>
      </c>
      <c r="D288" s="7" t="s">
        <v>57</v>
      </c>
      <c r="E288" s="7" t="s">
        <v>98</v>
      </c>
      <c r="F288" s="8">
        <v>1164</v>
      </c>
      <c r="G288" s="8">
        <v>616</v>
      </c>
      <c r="H288" s="8">
        <v>324</v>
      </c>
      <c r="I288" s="8">
        <v>6984</v>
      </c>
      <c r="J288" s="8">
        <v>6636</v>
      </c>
      <c r="K288" s="8">
        <v>82</v>
      </c>
      <c r="L288" s="16" t="s">
        <v>70</v>
      </c>
      <c r="M288" s="7" t="s">
        <v>7</v>
      </c>
    </row>
    <row r="289" spans="1:13" ht="86.95" thickBot="1" x14ac:dyDescent="0.35">
      <c r="A289" s="7" t="s">
        <v>390</v>
      </c>
      <c r="B289" s="7" t="s">
        <v>31</v>
      </c>
      <c r="C289" s="15">
        <v>45764</v>
      </c>
      <c r="D289" s="7" t="s">
        <v>73</v>
      </c>
      <c r="E289" s="7" t="s">
        <v>89</v>
      </c>
      <c r="F289" s="8">
        <v>4780</v>
      </c>
      <c r="G289" s="8">
        <v>691</v>
      </c>
      <c r="H289" s="8">
        <v>380</v>
      </c>
      <c r="I289" s="8">
        <v>86040</v>
      </c>
      <c r="J289" s="8">
        <v>85743</v>
      </c>
      <c r="K289" s="8">
        <v>262</v>
      </c>
      <c r="L289" s="16" t="s">
        <v>85</v>
      </c>
      <c r="M289" s="7" t="s">
        <v>15</v>
      </c>
    </row>
    <row r="290" spans="1:13" ht="101.35" thickBot="1" x14ac:dyDescent="0.35">
      <c r="A290" s="7" t="s">
        <v>391</v>
      </c>
      <c r="B290" s="7" t="s">
        <v>30</v>
      </c>
      <c r="C290" s="15">
        <v>45624</v>
      </c>
      <c r="D290" s="7" t="s">
        <v>73</v>
      </c>
      <c r="E290" s="7" t="s">
        <v>74</v>
      </c>
      <c r="F290" s="8">
        <v>2751</v>
      </c>
      <c r="G290" s="8">
        <v>33</v>
      </c>
      <c r="H290" s="8">
        <v>430</v>
      </c>
      <c r="I290" s="8">
        <v>44016</v>
      </c>
      <c r="J290" s="8">
        <v>43415</v>
      </c>
      <c r="K290" s="8">
        <v>129</v>
      </c>
      <c r="L290" s="16" t="s">
        <v>85</v>
      </c>
      <c r="M290" s="7"/>
    </row>
    <row r="291" spans="1:13" ht="101.35" thickBot="1" x14ac:dyDescent="0.35">
      <c r="A291" s="7" t="s">
        <v>392</v>
      </c>
      <c r="B291" s="7" t="s">
        <v>29</v>
      </c>
      <c r="C291" s="15">
        <v>45646</v>
      </c>
      <c r="D291" s="7" t="s">
        <v>73</v>
      </c>
      <c r="E291" s="7" t="s">
        <v>102</v>
      </c>
      <c r="F291" s="8">
        <v>2107</v>
      </c>
      <c r="G291" s="8">
        <v>550</v>
      </c>
      <c r="H291" s="8">
        <v>349</v>
      </c>
      <c r="I291" s="8">
        <v>35819</v>
      </c>
      <c r="J291" s="8">
        <v>35340</v>
      </c>
      <c r="K291" s="8">
        <v>191</v>
      </c>
      <c r="L291" s="16" t="s">
        <v>70</v>
      </c>
      <c r="M291" s="7" t="s">
        <v>19</v>
      </c>
    </row>
    <row r="292" spans="1:13" ht="86.95" thickBot="1" x14ac:dyDescent="0.35">
      <c r="A292" s="7" t="s">
        <v>393</v>
      </c>
      <c r="B292" s="7" t="s">
        <v>30</v>
      </c>
      <c r="C292" s="15">
        <v>45602</v>
      </c>
      <c r="D292" s="7" t="s">
        <v>93</v>
      </c>
      <c r="E292" s="7" t="s">
        <v>94</v>
      </c>
      <c r="F292" s="8">
        <v>4663</v>
      </c>
      <c r="G292" s="8">
        <v>145</v>
      </c>
      <c r="H292" s="8">
        <v>225</v>
      </c>
      <c r="I292" s="8">
        <v>69945</v>
      </c>
      <c r="J292" s="8">
        <v>69596</v>
      </c>
      <c r="K292" s="8">
        <v>35</v>
      </c>
      <c r="L292" s="16" t="s">
        <v>70</v>
      </c>
      <c r="M292" s="7" t="s">
        <v>19</v>
      </c>
    </row>
    <row r="293" spans="1:13" ht="86.95" thickBot="1" x14ac:dyDescent="0.35">
      <c r="A293" s="7" t="s">
        <v>394</v>
      </c>
      <c r="B293" s="7" t="s">
        <v>30</v>
      </c>
      <c r="C293" s="15">
        <v>45613</v>
      </c>
      <c r="D293" s="7" t="s">
        <v>61</v>
      </c>
      <c r="E293" s="7" t="s">
        <v>81</v>
      </c>
      <c r="F293" s="8">
        <v>880</v>
      </c>
      <c r="G293" s="8">
        <v>297</v>
      </c>
      <c r="H293" s="8">
        <v>345</v>
      </c>
      <c r="I293" s="8">
        <v>12320</v>
      </c>
      <c r="J293" s="8">
        <v>11978</v>
      </c>
      <c r="K293" s="8">
        <v>238</v>
      </c>
      <c r="L293" s="17" t="s">
        <v>106</v>
      </c>
      <c r="M293" s="7"/>
    </row>
    <row r="294" spans="1:13" ht="86.95" thickBot="1" x14ac:dyDescent="0.35">
      <c r="A294" s="7" t="s">
        <v>395</v>
      </c>
      <c r="B294" s="7" t="s">
        <v>30</v>
      </c>
      <c r="C294" s="15">
        <v>45791</v>
      </c>
      <c r="D294" s="7" t="s">
        <v>61</v>
      </c>
      <c r="E294" s="7" t="s">
        <v>81</v>
      </c>
      <c r="F294" s="8">
        <v>2634</v>
      </c>
      <c r="G294" s="8">
        <v>726</v>
      </c>
      <c r="H294" s="8">
        <v>241</v>
      </c>
      <c r="I294" s="8">
        <v>28974</v>
      </c>
      <c r="J294" s="8">
        <v>28102</v>
      </c>
      <c r="K294" s="8">
        <v>277</v>
      </c>
      <c r="L294" s="16" t="s">
        <v>70</v>
      </c>
      <c r="M294" s="7" t="s">
        <v>7</v>
      </c>
    </row>
    <row r="295" spans="1:13" ht="101.35" thickBot="1" x14ac:dyDescent="0.35">
      <c r="A295" s="7" t="s">
        <v>396</v>
      </c>
      <c r="B295" s="7" t="s">
        <v>30</v>
      </c>
      <c r="C295" s="15">
        <v>45462</v>
      </c>
      <c r="D295" s="7" t="s">
        <v>73</v>
      </c>
      <c r="E295" s="7" t="s">
        <v>74</v>
      </c>
      <c r="F295" s="8">
        <v>4731</v>
      </c>
      <c r="G295" s="8">
        <v>173</v>
      </c>
      <c r="H295" s="8">
        <v>276</v>
      </c>
      <c r="I295" s="8">
        <v>28386</v>
      </c>
      <c r="J295" s="8">
        <v>28185</v>
      </c>
      <c r="K295" s="8">
        <v>89</v>
      </c>
      <c r="L295" s="16" t="s">
        <v>70</v>
      </c>
      <c r="M295" s="7" t="s">
        <v>15</v>
      </c>
    </row>
    <row r="296" spans="1:13" ht="97.75" thickBot="1" x14ac:dyDescent="0.35">
      <c r="A296" s="7" t="s">
        <v>397</v>
      </c>
      <c r="B296" s="7" t="s">
        <v>32</v>
      </c>
      <c r="C296" s="15">
        <v>45783</v>
      </c>
      <c r="D296" s="7" t="s">
        <v>78</v>
      </c>
      <c r="E296" s="7" t="s">
        <v>126</v>
      </c>
      <c r="F296" s="8">
        <v>1952</v>
      </c>
      <c r="G296" s="8">
        <v>344</v>
      </c>
      <c r="H296" s="8">
        <v>287</v>
      </c>
      <c r="I296" s="8">
        <v>15616</v>
      </c>
      <c r="J296" s="8">
        <v>15403</v>
      </c>
      <c r="K296" s="8">
        <v>235</v>
      </c>
      <c r="L296" s="16" t="s">
        <v>175</v>
      </c>
      <c r="M296" s="7" t="s">
        <v>11</v>
      </c>
    </row>
    <row r="297" spans="1:13" ht="72.55" thickBot="1" x14ac:dyDescent="0.35">
      <c r="A297" s="7" t="s">
        <v>398</v>
      </c>
      <c r="B297" s="7" t="s">
        <v>32</v>
      </c>
      <c r="C297" s="15">
        <v>45699</v>
      </c>
      <c r="D297" s="7" t="s">
        <v>93</v>
      </c>
      <c r="E297" s="7" t="s">
        <v>133</v>
      </c>
      <c r="F297" s="8">
        <v>3440</v>
      </c>
      <c r="G297" s="8">
        <v>13</v>
      </c>
      <c r="H297" s="8">
        <v>20</v>
      </c>
      <c r="I297" s="8">
        <v>58480</v>
      </c>
      <c r="J297" s="8">
        <v>58146</v>
      </c>
      <c r="K297" s="8">
        <v>210</v>
      </c>
      <c r="L297" s="16" t="s">
        <v>302</v>
      </c>
      <c r="M297" s="7" t="s">
        <v>19</v>
      </c>
    </row>
    <row r="298" spans="1:13" ht="72.55" thickBot="1" x14ac:dyDescent="0.35">
      <c r="A298" s="7" t="s">
        <v>399</v>
      </c>
      <c r="B298" s="7" t="s">
        <v>32</v>
      </c>
      <c r="C298" s="15">
        <v>45650</v>
      </c>
      <c r="D298" s="7" t="s">
        <v>61</v>
      </c>
      <c r="E298" s="7" t="s">
        <v>62</v>
      </c>
      <c r="F298" s="8">
        <v>2166</v>
      </c>
      <c r="G298" s="8">
        <v>354</v>
      </c>
      <c r="H298" s="8">
        <v>117</v>
      </c>
      <c r="I298" s="8">
        <v>10830</v>
      </c>
      <c r="J298" s="8">
        <v>10245</v>
      </c>
      <c r="K298" s="8">
        <v>24</v>
      </c>
      <c r="L298" s="16" t="s">
        <v>70</v>
      </c>
      <c r="M298" s="7" t="s">
        <v>19</v>
      </c>
    </row>
    <row r="299" spans="1:13" ht="86.95" thickBot="1" x14ac:dyDescent="0.35">
      <c r="A299" s="7" t="s">
        <v>400</v>
      </c>
      <c r="B299" s="7" t="s">
        <v>30</v>
      </c>
      <c r="C299" s="15">
        <v>45589</v>
      </c>
      <c r="D299" s="7" t="s">
        <v>78</v>
      </c>
      <c r="E299" s="7" t="s">
        <v>83</v>
      </c>
      <c r="F299" s="8">
        <v>4303</v>
      </c>
      <c r="G299" s="8">
        <v>451</v>
      </c>
      <c r="H299" s="8">
        <v>286</v>
      </c>
      <c r="I299" s="8">
        <v>86060</v>
      </c>
      <c r="J299" s="8">
        <v>85823</v>
      </c>
      <c r="K299" s="8">
        <v>14</v>
      </c>
      <c r="L299" s="16" t="s">
        <v>66</v>
      </c>
      <c r="M299" s="7" t="s">
        <v>15</v>
      </c>
    </row>
    <row r="300" spans="1:13" ht="86.95" thickBot="1" x14ac:dyDescent="0.35">
      <c r="A300" s="7" t="s">
        <v>401</v>
      </c>
      <c r="B300" s="7" t="s">
        <v>30</v>
      </c>
      <c r="C300" s="15">
        <v>45530</v>
      </c>
      <c r="D300" s="7" t="s">
        <v>78</v>
      </c>
      <c r="E300" s="7" t="s">
        <v>83</v>
      </c>
      <c r="F300" s="8">
        <v>2581</v>
      </c>
      <c r="G300" s="8">
        <v>517</v>
      </c>
      <c r="H300" s="8">
        <v>117</v>
      </c>
      <c r="I300" s="8">
        <v>23229</v>
      </c>
      <c r="J300" s="8">
        <v>22331</v>
      </c>
      <c r="K300" s="8">
        <v>70</v>
      </c>
      <c r="L300" s="16" t="s">
        <v>85</v>
      </c>
      <c r="M300" s="7" t="s">
        <v>15</v>
      </c>
    </row>
    <row r="301" spans="1:13" ht="97.75" thickBot="1" x14ac:dyDescent="0.35">
      <c r="A301" s="7" t="s">
        <v>402</v>
      </c>
      <c r="B301" s="7" t="s">
        <v>32</v>
      </c>
      <c r="C301" s="15">
        <v>45535</v>
      </c>
      <c r="D301" s="7" t="s">
        <v>73</v>
      </c>
      <c r="E301" s="7" t="s">
        <v>76</v>
      </c>
      <c r="F301" s="8">
        <v>4494</v>
      </c>
      <c r="G301" s="8">
        <v>717</v>
      </c>
      <c r="H301" s="8">
        <v>45</v>
      </c>
      <c r="I301" s="8">
        <v>62916</v>
      </c>
      <c r="J301" s="8">
        <v>62688</v>
      </c>
      <c r="K301" s="8">
        <v>191</v>
      </c>
      <c r="L301" s="16" t="s">
        <v>362</v>
      </c>
      <c r="M301" s="7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D97-A29E-4551-A04B-7447CB714F9A}">
  <dimension ref="A1:N301"/>
  <sheetViews>
    <sheetView workbookViewId="0">
      <selection sqref="A1:N301"/>
    </sheetView>
  </sheetViews>
  <sheetFormatPr defaultRowHeight="14.4" x14ac:dyDescent="0.3"/>
  <cols>
    <col min="2" max="2" width="10.09765625" customWidth="1"/>
    <col min="3" max="3" width="10.296875" style="3" bestFit="1" customWidth="1"/>
    <col min="4" max="4" width="14.09765625" customWidth="1"/>
    <col min="5" max="5" width="10.59765625" customWidth="1"/>
    <col min="6" max="6" width="6.8984375" customWidth="1"/>
    <col min="7" max="7" width="8.296875" customWidth="1"/>
    <col min="8" max="8" width="11.796875" customWidth="1"/>
    <col min="9" max="9" width="12.796875" customWidth="1"/>
    <col min="10" max="10" width="7.796875" customWidth="1"/>
    <col min="11" max="11" width="7.5" customWidth="1"/>
    <col min="12" max="12" width="42" customWidth="1"/>
    <col min="13" max="13" width="17.296875" customWidth="1"/>
    <col min="14" max="14" width="17.09765625" customWidth="1"/>
  </cols>
  <sheetData>
    <row r="1" spans="1:14" x14ac:dyDescent="0.3">
      <c r="A1" t="s">
        <v>47</v>
      </c>
      <c r="B1" t="s">
        <v>48</v>
      </c>
      <c r="C1" s="3" t="s">
        <v>49</v>
      </c>
      <c r="D1" t="s">
        <v>50</v>
      </c>
      <c r="E1" t="s">
        <v>51</v>
      </c>
      <c r="F1" t="s">
        <v>35</v>
      </c>
      <c r="G1" t="s">
        <v>52</v>
      </c>
      <c r="H1" t="s">
        <v>53</v>
      </c>
      <c r="I1" t="s">
        <v>36</v>
      </c>
      <c r="J1" t="s">
        <v>54</v>
      </c>
      <c r="K1" t="s">
        <v>37</v>
      </c>
      <c r="L1" t="s">
        <v>55</v>
      </c>
      <c r="M1" t="s">
        <v>0</v>
      </c>
      <c r="N1" t="s">
        <v>403</v>
      </c>
    </row>
    <row r="2" spans="1:14" x14ac:dyDescent="0.3">
      <c r="A2" t="s">
        <v>56</v>
      </c>
      <c r="B2" t="s">
        <v>32</v>
      </c>
      <c r="C2" s="3">
        <v>45649</v>
      </c>
      <c r="D2" t="s">
        <v>57</v>
      </c>
      <c r="E2" t="s">
        <v>58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59</v>
      </c>
      <c r="M2" t="s">
        <v>7</v>
      </c>
      <c r="N2" t="str">
        <f>IF(M2="","No Campaign",
   IF(AND(C2&gt;=VLOOKUP(M2,Cleaned_Campaign_Data!B:D,2,FALSE),
          C2&lt;=VLOOKUP(M2,Cleaned_Campaign_Data!B:D,3,FALSE)),
      "During","Before"))</f>
        <v>Before</v>
      </c>
    </row>
    <row r="3" spans="1:14" x14ac:dyDescent="0.3">
      <c r="A3" t="s">
        <v>60</v>
      </c>
      <c r="B3" t="s">
        <v>32</v>
      </c>
      <c r="C3" s="3">
        <v>45750</v>
      </c>
      <c r="D3" t="s">
        <v>61</v>
      </c>
      <c r="E3" t="s">
        <v>62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63</v>
      </c>
      <c r="M3" t="s">
        <v>11</v>
      </c>
      <c r="N3" t="str">
        <f>IF(M3="","No Campaign",
   IF(AND(C3&gt;=VLOOKUP(M3,Cleaned_Campaign_Data!B:D,2,FALSE),
          C3&lt;=VLOOKUP(M3,Cleaned_Campaign_Data!B:D,3,FALSE)),
      "During","Before"))</f>
        <v>Before</v>
      </c>
    </row>
    <row r="4" spans="1:14" x14ac:dyDescent="0.3">
      <c r="A4" t="s">
        <v>64</v>
      </c>
      <c r="B4" t="s">
        <v>31</v>
      </c>
      <c r="C4" s="3">
        <v>45789</v>
      </c>
      <c r="D4" t="s">
        <v>57</v>
      </c>
      <c r="E4" t="s">
        <v>65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66</v>
      </c>
      <c r="M4" t="s">
        <v>15</v>
      </c>
      <c r="N4" t="str">
        <f>IF(M4="","No Campaign",
   IF(AND(C4&gt;=VLOOKUP(M4,Cleaned_Campaign_Data!B:D,2,FALSE),
          C4&lt;=VLOOKUP(M4,Cleaned_Campaign_Data!B:D,3,FALSE)),
      "During","Before"))</f>
        <v>Before</v>
      </c>
    </row>
    <row r="5" spans="1:14" x14ac:dyDescent="0.3">
      <c r="A5" t="s">
        <v>67</v>
      </c>
      <c r="B5" t="s">
        <v>29</v>
      </c>
      <c r="C5" s="3">
        <v>45516</v>
      </c>
      <c r="D5" t="s">
        <v>68</v>
      </c>
      <c r="E5" t="s">
        <v>69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70</v>
      </c>
      <c r="M5" t="s">
        <v>19</v>
      </c>
      <c r="N5" t="str">
        <f>IF(M5="","No Campaign",
   IF(AND(C5&gt;=VLOOKUP(M5,Cleaned_Campaign_Data!B:D,2,FALSE),
          C5&lt;=VLOOKUP(M5,Cleaned_Campaign_Data!B:D,3,FALSE)),
      "During","Before"))</f>
        <v>Before</v>
      </c>
    </row>
    <row r="6" spans="1:14" x14ac:dyDescent="0.3">
      <c r="A6" t="s">
        <v>71</v>
      </c>
      <c r="B6" t="s">
        <v>31</v>
      </c>
      <c r="C6" s="3">
        <v>45469</v>
      </c>
      <c r="D6" t="s">
        <v>57</v>
      </c>
      <c r="E6" t="s">
        <v>65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10</v>
      </c>
      <c r="M6" t="s">
        <v>7</v>
      </c>
      <c r="N6" t="str">
        <f>IF(M6="","No Campaign",
   IF(AND(C6&gt;=VLOOKUP(M6,Cleaned_Campaign_Data!B:D,2,FALSE),
          C6&lt;=VLOOKUP(M6,Cleaned_Campaign_Data!B:D,3,FALSE)),
      "During","Before"))</f>
        <v>During</v>
      </c>
    </row>
    <row r="7" spans="1:14" x14ac:dyDescent="0.3">
      <c r="A7" t="s">
        <v>72</v>
      </c>
      <c r="B7" t="s">
        <v>30</v>
      </c>
      <c r="C7" s="3">
        <v>45596</v>
      </c>
      <c r="D7" t="s">
        <v>73</v>
      </c>
      <c r="E7" t="s">
        <v>74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66</v>
      </c>
      <c r="M7" t="s">
        <v>11</v>
      </c>
      <c r="N7" t="str">
        <f>IF(M7="","No Campaign",
   IF(AND(C7&gt;=VLOOKUP(M7,Cleaned_Campaign_Data!B:D,2,FALSE),
          C7&lt;=VLOOKUP(M7,Cleaned_Campaign_Data!B:D,3,FALSE)),
      "During","Before"))</f>
        <v>During</v>
      </c>
    </row>
    <row r="8" spans="1:14" x14ac:dyDescent="0.3">
      <c r="A8" t="s">
        <v>75</v>
      </c>
      <c r="B8" t="s">
        <v>32</v>
      </c>
      <c r="C8" s="3">
        <v>45467</v>
      </c>
      <c r="D8" t="s">
        <v>73</v>
      </c>
      <c r="E8" t="s">
        <v>76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66</v>
      </c>
      <c r="M8" t="s">
        <v>11</v>
      </c>
      <c r="N8" t="str">
        <f>IF(M8="","No Campaign",
   IF(AND(C8&gt;=VLOOKUP(M8,Cleaned_Campaign_Data!B:D,2,FALSE),
          C8&lt;=VLOOKUP(M8,Cleaned_Campaign_Data!B:D,3,FALSE)),
      "During","Before"))</f>
        <v>Before</v>
      </c>
    </row>
    <row r="9" spans="1:14" x14ac:dyDescent="0.3">
      <c r="A9" t="s">
        <v>77</v>
      </c>
      <c r="B9" t="s">
        <v>31</v>
      </c>
      <c r="C9" s="3">
        <v>45486</v>
      </c>
      <c r="D9" t="s">
        <v>78</v>
      </c>
      <c r="E9" t="s">
        <v>79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70</v>
      </c>
      <c r="M9" t="s">
        <v>19</v>
      </c>
      <c r="N9" t="str">
        <f>IF(M9="","No Campaign",
   IF(AND(C9&gt;=VLOOKUP(M9,Cleaned_Campaign_Data!B:D,2,FALSE),
          C9&lt;=VLOOKUP(M9,Cleaned_Campaign_Data!B:D,3,FALSE)),
      "During","Before"))</f>
        <v>Before</v>
      </c>
    </row>
    <row r="10" spans="1:14" x14ac:dyDescent="0.3">
      <c r="A10" t="s">
        <v>80</v>
      </c>
      <c r="B10" t="s">
        <v>30</v>
      </c>
      <c r="C10" s="3">
        <v>45534</v>
      </c>
      <c r="D10" t="s">
        <v>61</v>
      </c>
      <c r="E10" t="s">
        <v>81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66</v>
      </c>
      <c r="M10" t="s">
        <v>11</v>
      </c>
      <c r="N10" t="str">
        <f>IF(M10="","No Campaign",
   IF(AND(C10&gt;=VLOOKUP(M10,Cleaned_Campaign_Data!B:D,2,FALSE),
          C10&lt;=VLOOKUP(M10,Cleaned_Campaign_Data!B:D,3,FALSE)),
      "During","Before"))</f>
        <v>Before</v>
      </c>
    </row>
    <row r="11" spans="1:14" x14ac:dyDescent="0.3">
      <c r="A11" t="s">
        <v>82</v>
      </c>
      <c r="B11" t="s">
        <v>30</v>
      </c>
      <c r="C11" s="3">
        <v>45727</v>
      </c>
      <c r="D11" t="s">
        <v>78</v>
      </c>
      <c r="E11" t="s">
        <v>83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66</v>
      </c>
      <c r="M11" t="s">
        <v>11</v>
      </c>
      <c r="N11" t="str">
        <f>IF(M11="","No Campaign",
   IF(AND(C11&gt;=VLOOKUP(M11,Cleaned_Campaign_Data!B:D,2,FALSE),
          C11&lt;=VLOOKUP(M11,Cleaned_Campaign_Data!B:D,3,FALSE)),
      "During","Before"))</f>
        <v>Before</v>
      </c>
    </row>
    <row r="12" spans="1:14" x14ac:dyDescent="0.3">
      <c r="A12" t="s">
        <v>84</v>
      </c>
      <c r="B12" t="s">
        <v>29</v>
      </c>
      <c r="C12" s="3">
        <v>45690</v>
      </c>
      <c r="D12" t="s">
        <v>68</v>
      </c>
      <c r="E12" t="s">
        <v>69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85</v>
      </c>
      <c r="M12" t="s">
        <v>19</v>
      </c>
      <c r="N12" t="str">
        <f>IF(M12="","No Campaign",
   IF(AND(C12&gt;=VLOOKUP(M12,Cleaned_Campaign_Data!B:D,2,FALSE),
          C12&lt;=VLOOKUP(M12,Cleaned_Campaign_Data!B:D,3,FALSE)),
      "During","Before"))</f>
        <v>Before</v>
      </c>
    </row>
    <row r="13" spans="1:14" x14ac:dyDescent="0.3">
      <c r="A13" t="s">
        <v>86</v>
      </c>
      <c r="B13" t="s">
        <v>30</v>
      </c>
      <c r="C13" s="3">
        <v>45494</v>
      </c>
      <c r="D13" t="s">
        <v>57</v>
      </c>
      <c r="E13" t="s">
        <v>87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85</v>
      </c>
      <c r="M13" t="s">
        <v>15</v>
      </c>
      <c r="N13" t="str">
        <f>IF(M13="","No Campaign",
   IF(AND(C13&gt;=VLOOKUP(M13,Cleaned_Campaign_Data!B:D,2,FALSE),
          C13&lt;=VLOOKUP(M13,Cleaned_Campaign_Data!B:D,3,FALSE)),
      "During","Before"))</f>
        <v>Before</v>
      </c>
    </row>
    <row r="14" spans="1:14" x14ac:dyDescent="0.3">
      <c r="A14" t="s">
        <v>88</v>
      </c>
      <c r="B14" t="s">
        <v>31</v>
      </c>
      <c r="C14" s="3">
        <v>45614</v>
      </c>
      <c r="D14" t="s">
        <v>73</v>
      </c>
      <c r="E14" t="s">
        <v>89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70</v>
      </c>
      <c r="M14" t="s">
        <v>7</v>
      </c>
      <c r="N14" t="str">
        <f>IF(M14="","No Campaign",
   IF(AND(C14&gt;=VLOOKUP(M14,Cleaned_Campaign_Data!B:D,2,FALSE),
          C14&lt;=VLOOKUP(M14,Cleaned_Campaign_Data!B:D,3,FALSE)),
      "During","Before"))</f>
        <v>Before</v>
      </c>
    </row>
    <row r="15" spans="1:14" x14ac:dyDescent="0.3">
      <c r="A15" t="s">
        <v>90</v>
      </c>
      <c r="B15" t="s">
        <v>30</v>
      </c>
      <c r="C15" s="3">
        <v>45704</v>
      </c>
      <c r="D15" t="s">
        <v>68</v>
      </c>
      <c r="E15" t="s">
        <v>91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85</v>
      </c>
      <c r="N15" t="str">
        <f>IF(M15="","No Campaign",
   IF(AND(C15&gt;=VLOOKUP(M15,Cleaned_Campaign_Data!B:D,2,FALSE),
          C15&lt;=VLOOKUP(M15,Cleaned_Campaign_Data!B:D,3,FALSE)),
      "During","Before"))</f>
        <v>No Campaign</v>
      </c>
    </row>
    <row r="16" spans="1:14" x14ac:dyDescent="0.3">
      <c r="A16" t="s">
        <v>92</v>
      </c>
      <c r="B16" t="s">
        <v>30</v>
      </c>
      <c r="C16" s="3">
        <v>45589</v>
      </c>
      <c r="D16" t="s">
        <v>93</v>
      </c>
      <c r="E16" t="s">
        <v>94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85</v>
      </c>
      <c r="M16" t="s">
        <v>7</v>
      </c>
      <c r="N16" t="str">
        <f>IF(M16="","No Campaign",
   IF(AND(C16&gt;=VLOOKUP(M16,Cleaned_Campaign_Data!B:D,2,FALSE),
          C16&lt;=VLOOKUP(M16,Cleaned_Campaign_Data!B:D,3,FALSE)),
      "During","Before"))</f>
        <v>Before</v>
      </c>
    </row>
    <row r="17" spans="1:14" x14ac:dyDescent="0.3">
      <c r="A17" t="s">
        <v>95</v>
      </c>
      <c r="B17" t="s">
        <v>30</v>
      </c>
      <c r="C17" s="3">
        <v>45530</v>
      </c>
      <c r="D17" t="s">
        <v>61</v>
      </c>
      <c r="E17" t="s">
        <v>81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85</v>
      </c>
      <c r="M17" t="s">
        <v>15</v>
      </c>
      <c r="N17" t="str">
        <f>IF(M17="","No Campaign",
   IF(AND(C17&gt;=VLOOKUP(M17,Cleaned_Campaign_Data!B:D,2,FALSE),
          C17&lt;=VLOOKUP(M17,Cleaned_Campaign_Data!B:D,3,FALSE)),
      "During","Before"))</f>
        <v>Before</v>
      </c>
    </row>
    <row r="18" spans="1:14" x14ac:dyDescent="0.3">
      <c r="A18" t="s">
        <v>96</v>
      </c>
      <c r="B18" t="s">
        <v>30</v>
      </c>
      <c r="C18" s="3">
        <v>45782</v>
      </c>
      <c r="D18" t="s">
        <v>61</v>
      </c>
      <c r="E18" t="s">
        <v>81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70</v>
      </c>
      <c r="M18" t="s">
        <v>19</v>
      </c>
      <c r="N18" t="str">
        <f>IF(M18="","No Campaign",
   IF(AND(C18&gt;=VLOOKUP(M18,Cleaned_Campaign_Data!B:D,2,FALSE),
          C18&lt;=VLOOKUP(M18,Cleaned_Campaign_Data!B:D,3,FALSE)),
      "During","Before"))</f>
        <v>Before</v>
      </c>
    </row>
    <row r="19" spans="1:14" x14ac:dyDescent="0.3">
      <c r="A19" t="s">
        <v>97</v>
      </c>
      <c r="B19" t="s">
        <v>29</v>
      </c>
      <c r="C19" s="3">
        <v>45523</v>
      </c>
      <c r="D19" t="s">
        <v>57</v>
      </c>
      <c r="E19" t="s">
        <v>98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85</v>
      </c>
      <c r="M19" t="s">
        <v>7</v>
      </c>
      <c r="N19" t="str">
        <f>IF(M19="","No Campaign",
   IF(AND(C19&gt;=VLOOKUP(M19,Cleaned_Campaign_Data!B:D,2,FALSE),
          C19&lt;=VLOOKUP(M19,Cleaned_Campaign_Data!B:D,3,FALSE)),
      "During","Before"))</f>
        <v>Before</v>
      </c>
    </row>
    <row r="20" spans="1:14" x14ac:dyDescent="0.3">
      <c r="A20" t="s">
        <v>99</v>
      </c>
      <c r="B20" t="s">
        <v>29</v>
      </c>
      <c r="C20" s="3">
        <v>45466</v>
      </c>
      <c r="D20" t="s">
        <v>93</v>
      </c>
      <c r="E20" t="s">
        <v>100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66</v>
      </c>
      <c r="M20" t="s">
        <v>19</v>
      </c>
      <c r="N20" t="str">
        <f>IF(M20="","No Campaign",
   IF(AND(C20&gt;=VLOOKUP(M20,Cleaned_Campaign_Data!B:D,2,FALSE),
          C20&lt;=VLOOKUP(M20,Cleaned_Campaign_Data!B:D,3,FALSE)),
      "During","Before"))</f>
        <v>Before</v>
      </c>
    </row>
    <row r="21" spans="1:14" x14ac:dyDescent="0.3">
      <c r="A21" t="s">
        <v>101</v>
      </c>
      <c r="B21" t="s">
        <v>29</v>
      </c>
      <c r="C21" s="3">
        <v>45544</v>
      </c>
      <c r="D21" t="s">
        <v>73</v>
      </c>
      <c r="E21" t="s">
        <v>102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66</v>
      </c>
      <c r="M21" t="s">
        <v>7</v>
      </c>
      <c r="N21" t="str">
        <f>IF(M21="","No Campaign",
   IF(AND(C21&gt;=VLOOKUP(M21,Cleaned_Campaign_Data!B:D,2,FALSE),
          C21&lt;=VLOOKUP(M21,Cleaned_Campaign_Data!B:D,3,FALSE)),
      "During","Before"))</f>
        <v>Before</v>
      </c>
    </row>
    <row r="22" spans="1:14" x14ac:dyDescent="0.3">
      <c r="A22" t="s">
        <v>103</v>
      </c>
      <c r="B22" t="s">
        <v>29</v>
      </c>
      <c r="C22" s="3">
        <v>45661</v>
      </c>
      <c r="D22" t="s">
        <v>57</v>
      </c>
      <c r="E22" t="s">
        <v>98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85</v>
      </c>
      <c r="M22" t="s">
        <v>19</v>
      </c>
      <c r="N22" t="str">
        <f>IF(M22="","No Campaign",
   IF(AND(C22&gt;=VLOOKUP(M22,Cleaned_Campaign_Data!B:D,2,FALSE),
          C22&lt;=VLOOKUP(M22,Cleaned_Campaign_Data!B:D,3,FALSE)),
      "During","Before"))</f>
        <v>Before</v>
      </c>
    </row>
    <row r="23" spans="1:14" x14ac:dyDescent="0.3">
      <c r="A23" t="s">
        <v>104</v>
      </c>
      <c r="B23" t="s">
        <v>30</v>
      </c>
      <c r="C23" s="3">
        <v>45715</v>
      </c>
      <c r="D23" t="s">
        <v>61</v>
      </c>
      <c r="E23" t="s">
        <v>81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66</v>
      </c>
      <c r="M23" t="s">
        <v>19</v>
      </c>
      <c r="N23" t="str">
        <f>IF(M23="","No Campaign",
   IF(AND(C23&gt;=VLOOKUP(M23,Cleaned_Campaign_Data!B:D,2,FALSE),
          C23&lt;=VLOOKUP(M23,Cleaned_Campaign_Data!B:D,3,FALSE)),
      "During","Before"))</f>
        <v>Before</v>
      </c>
    </row>
    <row r="24" spans="1:14" x14ac:dyDescent="0.3">
      <c r="A24" t="s">
        <v>105</v>
      </c>
      <c r="B24" t="s">
        <v>30</v>
      </c>
      <c r="C24" s="3">
        <v>45602</v>
      </c>
      <c r="D24" t="s">
        <v>93</v>
      </c>
      <c r="E24" t="s">
        <v>94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106</v>
      </c>
      <c r="M24" t="s">
        <v>11</v>
      </c>
      <c r="N24" t="str">
        <f>IF(M24="","No Campaign",
   IF(AND(C24&gt;=VLOOKUP(M24,Cleaned_Campaign_Data!B:D,2,FALSE),
          C24&lt;=VLOOKUP(M24,Cleaned_Campaign_Data!B:D,3,FALSE)),
      "During","Before"))</f>
        <v>Before</v>
      </c>
    </row>
    <row r="25" spans="1:14" x14ac:dyDescent="0.3">
      <c r="A25" t="s">
        <v>107</v>
      </c>
      <c r="B25" t="s">
        <v>30</v>
      </c>
      <c r="C25" s="3">
        <v>45680</v>
      </c>
      <c r="D25" t="s">
        <v>93</v>
      </c>
      <c r="E25" t="s">
        <v>94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85</v>
      </c>
      <c r="M25" t="s">
        <v>15</v>
      </c>
      <c r="N25" t="str">
        <f>IF(M25="","No Campaign",
   IF(AND(C25&gt;=VLOOKUP(M25,Cleaned_Campaign_Data!B:D,2,FALSE),
          C25&lt;=VLOOKUP(M25,Cleaned_Campaign_Data!B:D,3,FALSE)),
      "During","Before"))</f>
        <v>Before</v>
      </c>
    </row>
    <row r="26" spans="1:14" x14ac:dyDescent="0.3">
      <c r="A26" t="s">
        <v>108</v>
      </c>
      <c r="B26" t="s">
        <v>32</v>
      </c>
      <c r="C26" s="3">
        <v>45757</v>
      </c>
      <c r="D26" t="s">
        <v>73</v>
      </c>
      <c r="E26" t="s">
        <v>76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70</v>
      </c>
      <c r="N26" t="str">
        <f>IF(M26="","No Campaign",
   IF(AND(C26&gt;=VLOOKUP(M26,Cleaned_Campaign_Data!B:D,2,FALSE),
          C26&lt;=VLOOKUP(M26,Cleaned_Campaign_Data!B:D,3,FALSE)),
      "During","Before"))</f>
        <v>No Campaign</v>
      </c>
    </row>
    <row r="27" spans="1:14" x14ac:dyDescent="0.3">
      <c r="A27" t="s">
        <v>109</v>
      </c>
      <c r="B27" t="s">
        <v>31</v>
      </c>
      <c r="C27" s="3">
        <v>45752</v>
      </c>
      <c r="D27" t="s">
        <v>57</v>
      </c>
      <c r="E27" t="s">
        <v>65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85</v>
      </c>
      <c r="M27" t="s">
        <v>11</v>
      </c>
      <c r="N27" t="str">
        <f>IF(M27="","No Campaign",
   IF(AND(C27&gt;=VLOOKUP(M27,Cleaned_Campaign_Data!B:D,2,FALSE),
          C27&lt;=VLOOKUP(M27,Cleaned_Campaign_Data!B:D,3,FALSE)),
      "During","Before"))</f>
        <v>Before</v>
      </c>
    </row>
    <row r="28" spans="1:14" x14ac:dyDescent="0.3">
      <c r="A28" t="s">
        <v>110</v>
      </c>
      <c r="B28" t="s">
        <v>31</v>
      </c>
      <c r="C28" s="3">
        <v>45552</v>
      </c>
      <c r="D28" t="s">
        <v>61</v>
      </c>
      <c r="E28" t="s">
        <v>111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85</v>
      </c>
      <c r="M28" t="s">
        <v>19</v>
      </c>
      <c r="N28" t="str">
        <f>IF(M28="","No Campaign",
   IF(AND(C28&gt;=VLOOKUP(M28,Cleaned_Campaign_Data!B:D,2,FALSE),
          C28&lt;=VLOOKUP(M28,Cleaned_Campaign_Data!B:D,3,FALSE)),
      "During","Before"))</f>
        <v>Before</v>
      </c>
    </row>
    <row r="29" spans="1:14" x14ac:dyDescent="0.3">
      <c r="A29" t="s">
        <v>112</v>
      </c>
      <c r="B29" t="s">
        <v>29</v>
      </c>
      <c r="C29" s="3">
        <v>45720</v>
      </c>
      <c r="D29" t="s">
        <v>93</v>
      </c>
      <c r="E29" t="s">
        <v>100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85</v>
      </c>
      <c r="M29" t="s">
        <v>19</v>
      </c>
      <c r="N29" t="str">
        <f>IF(M29="","No Campaign",
   IF(AND(C29&gt;=VLOOKUP(M29,Cleaned_Campaign_Data!B:D,2,FALSE),
          C29&lt;=VLOOKUP(M29,Cleaned_Campaign_Data!B:D,3,FALSE)),
      "During","Before"))</f>
        <v>During</v>
      </c>
    </row>
    <row r="30" spans="1:14" x14ac:dyDescent="0.3">
      <c r="A30" t="s">
        <v>113</v>
      </c>
      <c r="B30" t="s">
        <v>29</v>
      </c>
      <c r="C30" s="3">
        <v>45688</v>
      </c>
      <c r="D30" t="s">
        <v>73</v>
      </c>
      <c r="E30" t="s">
        <v>102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85</v>
      </c>
      <c r="M30" t="s">
        <v>15</v>
      </c>
      <c r="N30" t="str">
        <f>IF(M30="","No Campaign",
   IF(AND(C30&gt;=VLOOKUP(M30,Cleaned_Campaign_Data!B:D,2,FALSE),
          C30&lt;=VLOOKUP(M30,Cleaned_Campaign_Data!B:D,3,FALSE)),
      "During","Before"))</f>
        <v>Before</v>
      </c>
    </row>
    <row r="31" spans="1:14" x14ac:dyDescent="0.3">
      <c r="A31" t="s">
        <v>114</v>
      </c>
      <c r="B31" t="s">
        <v>29</v>
      </c>
      <c r="C31" s="3">
        <v>45713</v>
      </c>
      <c r="D31" t="s">
        <v>93</v>
      </c>
      <c r="E31" t="s">
        <v>100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70</v>
      </c>
      <c r="N31" t="str">
        <f>IF(M31="","No Campaign",
   IF(AND(C31&gt;=VLOOKUP(M31,Cleaned_Campaign_Data!B:D,2,FALSE),
          C31&lt;=VLOOKUP(M31,Cleaned_Campaign_Data!B:D,3,FALSE)),
      "During","Before"))</f>
        <v>No Campaign</v>
      </c>
    </row>
    <row r="32" spans="1:14" x14ac:dyDescent="0.3">
      <c r="A32" t="s">
        <v>115</v>
      </c>
      <c r="B32" t="s">
        <v>29</v>
      </c>
      <c r="C32" s="3">
        <v>45642</v>
      </c>
      <c r="D32" t="s">
        <v>61</v>
      </c>
      <c r="E32" t="s">
        <v>116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66</v>
      </c>
      <c r="M32" t="s">
        <v>11</v>
      </c>
      <c r="N32" t="str">
        <f>IF(M32="","No Campaign",
   IF(AND(C32&gt;=VLOOKUP(M32,Cleaned_Campaign_Data!B:D,2,FALSE),
          C32&lt;=VLOOKUP(M32,Cleaned_Campaign_Data!B:D,3,FALSE)),
      "During","Before"))</f>
        <v>Before</v>
      </c>
    </row>
    <row r="33" spans="1:14" x14ac:dyDescent="0.3">
      <c r="A33" t="s">
        <v>117</v>
      </c>
      <c r="B33" t="s">
        <v>32</v>
      </c>
      <c r="C33" s="3">
        <v>45504</v>
      </c>
      <c r="D33" t="s">
        <v>73</v>
      </c>
      <c r="E33" t="s">
        <v>76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70</v>
      </c>
      <c r="M33" t="s">
        <v>7</v>
      </c>
      <c r="N33" t="str">
        <f>IF(M33="","No Campaign",
   IF(AND(C33&gt;=VLOOKUP(M33,Cleaned_Campaign_Data!B:D,2,FALSE),
          C33&lt;=VLOOKUP(M33,Cleaned_Campaign_Data!B:D,3,FALSE)),
      "During","Before"))</f>
        <v>Before</v>
      </c>
    </row>
    <row r="34" spans="1:14" x14ac:dyDescent="0.3">
      <c r="A34" t="s">
        <v>118</v>
      </c>
      <c r="B34" t="s">
        <v>30</v>
      </c>
      <c r="C34" s="3">
        <v>45525</v>
      </c>
      <c r="D34" t="s">
        <v>78</v>
      </c>
      <c r="E34" t="s">
        <v>83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66</v>
      </c>
      <c r="M34" t="s">
        <v>7</v>
      </c>
      <c r="N34" t="str">
        <f>IF(M34="","No Campaign",
   IF(AND(C34&gt;=VLOOKUP(M34,Cleaned_Campaign_Data!B:D,2,FALSE),
          C34&lt;=VLOOKUP(M34,Cleaned_Campaign_Data!B:D,3,FALSE)),
      "During","Before"))</f>
        <v>Before</v>
      </c>
    </row>
    <row r="35" spans="1:14" x14ac:dyDescent="0.3">
      <c r="A35" t="s">
        <v>119</v>
      </c>
      <c r="B35" t="s">
        <v>30</v>
      </c>
      <c r="C35" s="3">
        <v>45742</v>
      </c>
      <c r="D35" t="s">
        <v>61</v>
      </c>
      <c r="E35" t="s">
        <v>81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66</v>
      </c>
      <c r="M35" t="s">
        <v>15</v>
      </c>
      <c r="N35" t="str">
        <f>IF(M35="","No Campaign",
   IF(AND(C35&gt;=VLOOKUP(M35,Cleaned_Campaign_Data!B:D,2,FALSE),
          C35&lt;=VLOOKUP(M35,Cleaned_Campaign_Data!B:D,3,FALSE)),
      "During","Before"))</f>
        <v>Before</v>
      </c>
    </row>
    <row r="36" spans="1:14" x14ac:dyDescent="0.3">
      <c r="A36" t="s">
        <v>120</v>
      </c>
      <c r="B36" t="s">
        <v>29</v>
      </c>
      <c r="C36" s="3">
        <v>45626</v>
      </c>
      <c r="D36" t="s">
        <v>93</v>
      </c>
      <c r="E36" t="s">
        <v>100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85</v>
      </c>
      <c r="M36" t="s">
        <v>11</v>
      </c>
      <c r="N36" t="str">
        <f>IF(M36="","No Campaign",
   IF(AND(C36&gt;=VLOOKUP(M36,Cleaned_Campaign_Data!B:D,2,FALSE),
          C36&lt;=VLOOKUP(M36,Cleaned_Campaign_Data!B:D,3,FALSE)),
      "During","Before"))</f>
        <v>Before</v>
      </c>
    </row>
    <row r="37" spans="1:14" x14ac:dyDescent="0.3">
      <c r="A37" t="s">
        <v>121</v>
      </c>
      <c r="B37" t="s">
        <v>29</v>
      </c>
      <c r="C37" s="3">
        <v>45766</v>
      </c>
      <c r="D37" t="s">
        <v>68</v>
      </c>
      <c r="E37" t="s">
        <v>69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70</v>
      </c>
      <c r="M37" t="s">
        <v>11</v>
      </c>
      <c r="N37" t="str">
        <f>IF(M37="","No Campaign",
   IF(AND(C37&gt;=VLOOKUP(M37,Cleaned_Campaign_Data!B:D,2,FALSE),
          C37&lt;=VLOOKUP(M37,Cleaned_Campaign_Data!B:D,3,FALSE)),
      "During","Before"))</f>
        <v>Before</v>
      </c>
    </row>
    <row r="38" spans="1:14" x14ac:dyDescent="0.3">
      <c r="A38" t="s">
        <v>122</v>
      </c>
      <c r="B38" t="s">
        <v>30</v>
      </c>
      <c r="C38" s="3">
        <v>45663</v>
      </c>
      <c r="D38" t="s">
        <v>73</v>
      </c>
      <c r="E38" t="s">
        <v>74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70</v>
      </c>
      <c r="M38" t="s">
        <v>11</v>
      </c>
      <c r="N38" t="str">
        <f>IF(M38="","No Campaign",
   IF(AND(C38&gt;=VLOOKUP(M38,Cleaned_Campaign_Data!B:D,2,FALSE),
          C38&lt;=VLOOKUP(M38,Cleaned_Campaign_Data!B:D,3,FALSE)),
      "During","Before"))</f>
        <v>Before</v>
      </c>
    </row>
    <row r="39" spans="1:14" x14ac:dyDescent="0.3">
      <c r="A39" t="s">
        <v>123</v>
      </c>
      <c r="B39" t="s">
        <v>31</v>
      </c>
      <c r="C39" s="3">
        <v>45705</v>
      </c>
      <c r="D39" t="s">
        <v>57</v>
      </c>
      <c r="E39" t="s">
        <v>65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66</v>
      </c>
      <c r="M39" t="s">
        <v>19</v>
      </c>
      <c r="N39" t="str">
        <f>IF(M39="","No Campaign",
   IF(AND(C39&gt;=VLOOKUP(M39,Cleaned_Campaign_Data!B:D,2,FALSE),
          C39&lt;=VLOOKUP(M39,Cleaned_Campaign_Data!B:D,3,FALSE)),
      "During","Before"))</f>
        <v>Before</v>
      </c>
    </row>
    <row r="40" spans="1:14" x14ac:dyDescent="0.3">
      <c r="A40" t="s">
        <v>124</v>
      </c>
      <c r="B40" t="s">
        <v>30</v>
      </c>
      <c r="C40" s="3">
        <v>45621</v>
      </c>
      <c r="D40" t="s">
        <v>78</v>
      </c>
      <c r="E40" t="s">
        <v>83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66</v>
      </c>
      <c r="N40" t="str">
        <f>IF(M40="","No Campaign",
   IF(AND(C40&gt;=VLOOKUP(M40,Cleaned_Campaign_Data!B:D,2,FALSE),
          C40&lt;=VLOOKUP(M40,Cleaned_Campaign_Data!B:D,3,FALSE)),
      "During","Before"))</f>
        <v>No Campaign</v>
      </c>
    </row>
    <row r="41" spans="1:14" x14ac:dyDescent="0.3">
      <c r="A41" t="s">
        <v>125</v>
      </c>
      <c r="B41" t="s">
        <v>32</v>
      </c>
      <c r="C41" s="3">
        <v>45723</v>
      </c>
      <c r="D41" t="s">
        <v>78</v>
      </c>
      <c r="E41" t="s">
        <v>126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70</v>
      </c>
      <c r="M41" t="s">
        <v>19</v>
      </c>
      <c r="N41" t="str">
        <f>IF(M41="","No Campaign",
   IF(AND(C41&gt;=VLOOKUP(M41,Cleaned_Campaign_Data!B:D,2,FALSE),
          C41&lt;=VLOOKUP(M41,Cleaned_Campaign_Data!B:D,3,FALSE)),
      "During","Before"))</f>
        <v>During</v>
      </c>
    </row>
    <row r="42" spans="1:14" x14ac:dyDescent="0.3">
      <c r="A42" t="s">
        <v>127</v>
      </c>
      <c r="B42" t="s">
        <v>29</v>
      </c>
      <c r="C42" s="3">
        <v>45724</v>
      </c>
      <c r="D42" t="s">
        <v>57</v>
      </c>
      <c r="E42" t="s">
        <v>98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85</v>
      </c>
      <c r="M42" t="s">
        <v>19</v>
      </c>
      <c r="N42" t="str">
        <f>IF(M42="","No Campaign",
   IF(AND(C42&gt;=VLOOKUP(M42,Cleaned_Campaign_Data!B:D,2,FALSE),
          C42&lt;=VLOOKUP(M42,Cleaned_Campaign_Data!B:D,3,FALSE)),
      "During","Before"))</f>
        <v>During</v>
      </c>
    </row>
    <row r="43" spans="1:14" x14ac:dyDescent="0.3">
      <c r="A43" t="s">
        <v>128</v>
      </c>
      <c r="B43" t="s">
        <v>31</v>
      </c>
      <c r="C43" s="3">
        <v>45721</v>
      </c>
      <c r="D43" t="s">
        <v>57</v>
      </c>
      <c r="E43" t="s">
        <v>65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70</v>
      </c>
      <c r="N43" t="str">
        <f>IF(M43="","No Campaign",
   IF(AND(C43&gt;=VLOOKUP(M43,Cleaned_Campaign_Data!B:D,2,FALSE),
          C43&lt;=VLOOKUP(M43,Cleaned_Campaign_Data!B:D,3,FALSE)),
      "During","Before"))</f>
        <v>No Campaign</v>
      </c>
    </row>
    <row r="44" spans="1:14" x14ac:dyDescent="0.3">
      <c r="A44" t="s">
        <v>129</v>
      </c>
      <c r="B44" t="s">
        <v>29</v>
      </c>
      <c r="C44" s="3">
        <v>45640</v>
      </c>
      <c r="D44" t="s">
        <v>73</v>
      </c>
      <c r="E44" t="s">
        <v>102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66</v>
      </c>
      <c r="M44" t="s">
        <v>15</v>
      </c>
      <c r="N44" t="str">
        <f>IF(M44="","No Campaign",
   IF(AND(C44&gt;=VLOOKUP(M44,Cleaned_Campaign_Data!B:D,2,FALSE),
          C44&lt;=VLOOKUP(M44,Cleaned_Campaign_Data!B:D,3,FALSE)),
      "During","Before"))</f>
        <v>Before</v>
      </c>
    </row>
    <row r="45" spans="1:14" x14ac:dyDescent="0.3">
      <c r="A45" t="s">
        <v>130</v>
      </c>
      <c r="B45" t="s">
        <v>32</v>
      </c>
      <c r="C45" s="3">
        <v>45718</v>
      </c>
      <c r="D45" t="s">
        <v>78</v>
      </c>
      <c r="E45" t="s">
        <v>126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66</v>
      </c>
      <c r="N45" t="str">
        <f>IF(M45="","No Campaign",
   IF(AND(C45&gt;=VLOOKUP(M45,Cleaned_Campaign_Data!B:D,2,FALSE),
          C45&lt;=VLOOKUP(M45,Cleaned_Campaign_Data!B:D,3,FALSE)),
      "During","Before"))</f>
        <v>No Campaign</v>
      </c>
    </row>
    <row r="46" spans="1:14" x14ac:dyDescent="0.3">
      <c r="A46" t="s">
        <v>131</v>
      </c>
      <c r="B46" t="s">
        <v>30</v>
      </c>
      <c r="C46" s="3">
        <v>45597</v>
      </c>
      <c r="D46" t="s">
        <v>93</v>
      </c>
      <c r="E46" t="s">
        <v>94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85</v>
      </c>
      <c r="M46" t="s">
        <v>7</v>
      </c>
      <c r="N46" t="str">
        <f>IF(M46="","No Campaign",
   IF(AND(C46&gt;=VLOOKUP(M46,Cleaned_Campaign_Data!B:D,2,FALSE),
          C46&lt;=VLOOKUP(M46,Cleaned_Campaign_Data!B:D,3,FALSE)),
      "During","Before"))</f>
        <v>Before</v>
      </c>
    </row>
    <row r="47" spans="1:14" x14ac:dyDescent="0.3">
      <c r="A47" t="s">
        <v>132</v>
      </c>
      <c r="B47" t="s">
        <v>32</v>
      </c>
      <c r="C47" s="3">
        <v>45779</v>
      </c>
      <c r="D47" t="s">
        <v>93</v>
      </c>
      <c r="E47" t="s">
        <v>133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66</v>
      </c>
      <c r="M47" t="s">
        <v>19</v>
      </c>
      <c r="N47" t="str">
        <f>IF(M47="","No Campaign",
   IF(AND(C47&gt;=VLOOKUP(M47,Cleaned_Campaign_Data!B:D,2,FALSE),
          C47&lt;=VLOOKUP(M47,Cleaned_Campaign_Data!B:D,3,FALSE)),
      "During","Before"))</f>
        <v>Before</v>
      </c>
    </row>
    <row r="48" spans="1:14" x14ac:dyDescent="0.3">
      <c r="A48" t="s">
        <v>134</v>
      </c>
      <c r="B48" t="s">
        <v>32</v>
      </c>
      <c r="C48" s="3">
        <v>45712</v>
      </c>
      <c r="D48" t="s">
        <v>73</v>
      </c>
      <c r="E48" t="s">
        <v>76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85</v>
      </c>
      <c r="N48" t="str">
        <f>IF(M48="","No Campaign",
   IF(AND(C48&gt;=VLOOKUP(M48,Cleaned_Campaign_Data!B:D,2,FALSE),
          C48&lt;=VLOOKUP(M48,Cleaned_Campaign_Data!B:D,3,FALSE)),
      "During","Before"))</f>
        <v>No Campaign</v>
      </c>
    </row>
    <row r="49" spans="1:14" x14ac:dyDescent="0.3">
      <c r="A49" t="s">
        <v>135</v>
      </c>
      <c r="B49" t="s">
        <v>32</v>
      </c>
      <c r="C49" s="3">
        <v>45727</v>
      </c>
      <c r="D49" t="s">
        <v>68</v>
      </c>
      <c r="E49" t="s">
        <v>136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66</v>
      </c>
      <c r="N49" t="str">
        <f>IF(M49="","No Campaign",
   IF(AND(C49&gt;=VLOOKUP(M49,Cleaned_Campaign_Data!B:D,2,FALSE),
          C49&lt;=VLOOKUP(M49,Cleaned_Campaign_Data!B:D,3,FALSE)),
      "During","Before"))</f>
        <v>No Campaign</v>
      </c>
    </row>
    <row r="50" spans="1:14" x14ac:dyDescent="0.3">
      <c r="A50" t="s">
        <v>137</v>
      </c>
      <c r="B50" t="s">
        <v>32</v>
      </c>
      <c r="C50" s="3">
        <v>45453</v>
      </c>
      <c r="D50" t="s">
        <v>68</v>
      </c>
      <c r="E50" t="s">
        <v>136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66</v>
      </c>
      <c r="M50" t="s">
        <v>19</v>
      </c>
      <c r="N50" t="str">
        <f>IF(M50="","No Campaign",
   IF(AND(C50&gt;=VLOOKUP(M50,Cleaned_Campaign_Data!B:D,2,FALSE),
          C50&lt;=VLOOKUP(M50,Cleaned_Campaign_Data!B:D,3,FALSE)),
      "During","Before"))</f>
        <v>Before</v>
      </c>
    </row>
    <row r="51" spans="1:14" x14ac:dyDescent="0.3">
      <c r="A51" t="s">
        <v>138</v>
      </c>
      <c r="B51" t="s">
        <v>31</v>
      </c>
      <c r="C51" s="3">
        <v>45476</v>
      </c>
      <c r="D51" t="s">
        <v>68</v>
      </c>
      <c r="E51" t="s">
        <v>139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66</v>
      </c>
      <c r="M51" t="s">
        <v>15</v>
      </c>
      <c r="N51" t="str">
        <f>IF(M51="","No Campaign",
   IF(AND(C51&gt;=VLOOKUP(M51,Cleaned_Campaign_Data!B:D,2,FALSE),
          C51&lt;=VLOOKUP(M51,Cleaned_Campaign_Data!B:D,3,FALSE)),
      "During","Before"))</f>
        <v>Before</v>
      </c>
    </row>
    <row r="52" spans="1:14" x14ac:dyDescent="0.3">
      <c r="A52" t="s">
        <v>140</v>
      </c>
      <c r="B52" t="s">
        <v>30</v>
      </c>
      <c r="C52" s="3">
        <v>45456</v>
      </c>
      <c r="D52" t="s">
        <v>73</v>
      </c>
      <c r="E52" t="s">
        <v>74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85</v>
      </c>
      <c r="M52" t="s">
        <v>11</v>
      </c>
      <c r="N52" t="str">
        <f>IF(M52="","No Campaign",
   IF(AND(C52&gt;=VLOOKUP(M52,Cleaned_Campaign_Data!B:D,2,FALSE),
          C52&lt;=VLOOKUP(M52,Cleaned_Campaign_Data!B:D,3,FALSE)),
      "During","Before"))</f>
        <v>Before</v>
      </c>
    </row>
    <row r="53" spans="1:14" x14ac:dyDescent="0.3">
      <c r="A53" t="s">
        <v>141</v>
      </c>
      <c r="B53" t="s">
        <v>30</v>
      </c>
      <c r="C53" s="3">
        <v>45660</v>
      </c>
      <c r="D53" t="s">
        <v>78</v>
      </c>
      <c r="E53" t="s">
        <v>83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66</v>
      </c>
      <c r="M53" t="s">
        <v>19</v>
      </c>
      <c r="N53" t="str">
        <f>IF(M53="","No Campaign",
   IF(AND(C53&gt;=VLOOKUP(M53,Cleaned_Campaign_Data!B:D,2,FALSE),
          C53&lt;=VLOOKUP(M53,Cleaned_Campaign_Data!B:D,3,FALSE)),
      "During","Before"))</f>
        <v>Before</v>
      </c>
    </row>
    <row r="54" spans="1:14" x14ac:dyDescent="0.3">
      <c r="A54" t="s">
        <v>142</v>
      </c>
      <c r="B54" t="s">
        <v>31</v>
      </c>
      <c r="C54" s="3">
        <v>45712</v>
      </c>
      <c r="D54" t="s">
        <v>73</v>
      </c>
      <c r="E54" t="s">
        <v>89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143</v>
      </c>
      <c r="N54" t="str">
        <f>IF(M54="","No Campaign",
   IF(AND(C54&gt;=VLOOKUP(M54,Cleaned_Campaign_Data!B:D,2,FALSE),
          C54&lt;=VLOOKUP(M54,Cleaned_Campaign_Data!B:D,3,FALSE)),
      "During","Before"))</f>
        <v>No Campaign</v>
      </c>
    </row>
    <row r="55" spans="1:14" x14ac:dyDescent="0.3">
      <c r="A55" t="s">
        <v>144</v>
      </c>
      <c r="B55" t="s">
        <v>31</v>
      </c>
      <c r="C55" s="3">
        <v>45729</v>
      </c>
      <c r="D55" t="s">
        <v>73</v>
      </c>
      <c r="E55" t="s">
        <v>89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85</v>
      </c>
      <c r="M55" t="s">
        <v>11</v>
      </c>
      <c r="N55" t="str">
        <f>IF(M55="","No Campaign",
   IF(AND(C55&gt;=VLOOKUP(M55,Cleaned_Campaign_Data!B:D,2,FALSE),
          C55&lt;=VLOOKUP(M55,Cleaned_Campaign_Data!B:D,3,FALSE)),
      "During","Before"))</f>
        <v>Before</v>
      </c>
    </row>
    <row r="56" spans="1:14" x14ac:dyDescent="0.3">
      <c r="A56" t="s">
        <v>145</v>
      </c>
      <c r="B56" t="s">
        <v>30</v>
      </c>
      <c r="C56" s="3">
        <v>45460</v>
      </c>
      <c r="D56" t="s">
        <v>78</v>
      </c>
      <c r="E56" t="s">
        <v>83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70</v>
      </c>
      <c r="M56" t="s">
        <v>19</v>
      </c>
      <c r="N56" t="str">
        <f>IF(M56="","No Campaign",
   IF(AND(C56&gt;=VLOOKUP(M56,Cleaned_Campaign_Data!B:D,2,FALSE),
          C56&lt;=VLOOKUP(M56,Cleaned_Campaign_Data!B:D,3,FALSE)),
      "During","Before"))</f>
        <v>Before</v>
      </c>
    </row>
    <row r="57" spans="1:14" x14ac:dyDescent="0.3">
      <c r="A57" t="s">
        <v>146</v>
      </c>
      <c r="B57" t="s">
        <v>30</v>
      </c>
      <c r="C57" s="3">
        <v>45644</v>
      </c>
      <c r="D57" t="s">
        <v>73</v>
      </c>
      <c r="E57" t="s">
        <v>74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85</v>
      </c>
      <c r="M57" t="s">
        <v>15</v>
      </c>
      <c r="N57" t="str">
        <f>IF(M57="","No Campaign",
   IF(AND(C57&gt;=VLOOKUP(M57,Cleaned_Campaign_Data!B:D,2,FALSE),
          C57&lt;=VLOOKUP(M57,Cleaned_Campaign_Data!B:D,3,FALSE)),
      "During","Before"))</f>
        <v>Before</v>
      </c>
    </row>
    <row r="58" spans="1:14" x14ac:dyDescent="0.3">
      <c r="A58" t="s">
        <v>147</v>
      </c>
      <c r="B58" t="s">
        <v>32</v>
      </c>
      <c r="C58" s="3">
        <v>45586</v>
      </c>
      <c r="D58" t="s">
        <v>93</v>
      </c>
      <c r="E58" t="s">
        <v>133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66</v>
      </c>
      <c r="M58" t="s">
        <v>7</v>
      </c>
      <c r="N58" t="str">
        <f>IF(M58="","No Campaign",
   IF(AND(C58&gt;=VLOOKUP(M58,Cleaned_Campaign_Data!B:D,2,FALSE),
          C58&lt;=VLOOKUP(M58,Cleaned_Campaign_Data!B:D,3,FALSE)),
      "During","Before"))</f>
        <v>Before</v>
      </c>
    </row>
    <row r="59" spans="1:14" x14ac:dyDescent="0.3">
      <c r="A59" t="s">
        <v>148</v>
      </c>
      <c r="B59" t="s">
        <v>29</v>
      </c>
      <c r="C59" s="3">
        <v>45762</v>
      </c>
      <c r="D59" t="s">
        <v>57</v>
      </c>
      <c r="E59" t="s">
        <v>98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66</v>
      </c>
      <c r="M59" t="s">
        <v>19</v>
      </c>
      <c r="N59" t="str">
        <f>IF(M59="","No Campaign",
   IF(AND(C59&gt;=VLOOKUP(M59,Cleaned_Campaign_Data!B:D,2,FALSE),
          C59&lt;=VLOOKUP(M59,Cleaned_Campaign_Data!B:D,3,FALSE)),
      "During","Before"))</f>
        <v>Before</v>
      </c>
    </row>
    <row r="60" spans="1:14" x14ac:dyDescent="0.3">
      <c r="A60" t="s">
        <v>149</v>
      </c>
      <c r="B60" t="s">
        <v>29</v>
      </c>
      <c r="C60" s="3">
        <v>45465</v>
      </c>
      <c r="D60" t="s">
        <v>61</v>
      </c>
      <c r="E60" t="s">
        <v>116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70</v>
      </c>
      <c r="N60" t="str">
        <f>IF(M60="","No Campaign",
   IF(AND(C60&gt;=VLOOKUP(M60,Cleaned_Campaign_Data!B:D,2,FALSE),
          C60&lt;=VLOOKUP(M60,Cleaned_Campaign_Data!B:D,3,FALSE)),
      "During","Before"))</f>
        <v>No Campaign</v>
      </c>
    </row>
    <row r="61" spans="1:14" x14ac:dyDescent="0.3">
      <c r="A61" t="s">
        <v>150</v>
      </c>
      <c r="B61" t="s">
        <v>29</v>
      </c>
      <c r="C61" s="3">
        <v>45685</v>
      </c>
      <c r="D61" t="s">
        <v>93</v>
      </c>
      <c r="E61" t="s">
        <v>100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151</v>
      </c>
      <c r="M61" t="s">
        <v>15</v>
      </c>
      <c r="N61" t="str">
        <f>IF(M61="","No Campaign",
   IF(AND(C61&gt;=VLOOKUP(M61,Cleaned_Campaign_Data!B:D,2,FALSE),
          C61&lt;=VLOOKUP(M61,Cleaned_Campaign_Data!B:D,3,FALSE)),
      "During","Before"))</f>
        <v>Before</v>
      </c>
    </row>
    <row r="62" spans="1:14" x14ac:dyDescent="0.3">
      <c r="A62" t="s">
        <v>152</v>
      </c>
      <c r="B62" t="s">
        <v>32</v>
      </c>
      <c r="C62" s="3">
        <v>45540</v>
      </c>
      <c r="D62" t="s">
        <v>93</v>
      </c>
      <c r="E62" t="s">
        <v>133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66</v>
      </c>
      <c r="M62" t="s">
        <v>7</v>
      </c>
      <c r="N62" t="str">
        <f>IF(M62="","No Campaign",
   IF(AND(C62&gt;=VLOOKUP(M62,Cleaned_Campaign_Data!B:D,2,FALSE),
          C62&lt;=VLOOKUP(M62,Cleaned_Campaign_Data!B:D,3,FALSE)),
      "During","Before"))</f>
        <v>Before</v>
      </c>
    </row>
    <row r="63" spans="1:14" x14ac:dyDescent="0.3">
      <c r="A63" t="s">
        <v>153</v>
      </c>
      <c r="B63" t="s">
        <v>32</v>
      </c>
      <c r="C63" s="3">
        <v>45618</v>
      </c>
      <c r="D63" t="s">
        <v>73</v>
      </c>
      <c r="E63" t="s">
        <v>76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66</v>
      </c>
      <c r="M63" t="s">
        <v>15</v>
      </c>
      <c r="N63" t="str">
        <f>IF(M63="","No Campaign",
   IF(AND(C63&gt;=VLOOKUP(M63,Cleaned_Campaign_Data!B:D,2,FALSE),
          C63&lt;=VLOOKUP(M63,Cleaned_Campaign_Data!B:D,3,FALSE)),
      "During","Before"))</f>
        <v>Before</v>
      </c>
    </row>
    <row r="64" spans="1:14" x14ac:dyDescent="0.3">
      <c r="A64" t="s">
        <v>154</v>
      </c>
      <c r="B64" t="s">
        <v>32</v>
      </c>
      <c r="C64" s="3">
        <v>45504</v>
      </c>
      <c r="D64" t="s">
        <v>73</v>
      </c>
      <c r="E64" t="s">
        <v>76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85</v>
      </c>
      <c r="M64" t="s">
        <v>15</v>
      </c>
      <c r="N64" t="str">
        <f>IF(M64="","No Campaign",
   IF(AND(C64&gt;=VLOOKUP(M64,Cleaned_Campaign_Data!B:D,2,FALSE),
          C64&lt;=VLOOKUP(M64,Cleaned_Campaign_Data!B:D,3,FALSE)),
      "During","Before"))</f>
        <v>Before</v>
      </c>
    </row>
    <row r="65" spans="1:14" x14ac:dyDescent="0.3">
      <c r="A65" t="s">
        <v>155</v>
      </c>
      <c r="B65" t="s">
        <v>30</v>
      </c>
      <c r="C65" s="3">
        <v>45521</v>
      </c>
      <c r="D65" t="s">
        <v>78</v>
      </c>
      <c r="E65" t="s">
        <v>83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85</v>
      </c>
      <c r="M65" t="s">
        <v>15</v>
      </c>
      <c r="N65" t="str">
        <f>IF(M65="","No Campaign",
   IF(AND(C65&gt;=VLOOKUP(M65,Cleaned_Campaign_Data!B:D,2,FALSE),
          C65&lt;=VLOOKUP(M65,Cleaned_Campaign_Data!B:D,3,FALSE)),
      "During","Before"))</f>
        <v>Before</v>
      </c>
    </row>
    <row r="66" spans="1:14" x14ac:dyDescent="0.3">
      <c r="A66" t="s">
        <v>156</v>
      </c>
      <c r="B66" t="s">
        <v>29</v>
      </c>
      <c r="C66" s="3">
        <v>45744</v>
      </c>
      <c r="D66" t="s">
        <v>68</v>
      </c>
      <c r="E66" t="s">
        <v>69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70</v>
      </c>
      <c r="N66" t="str">
        <f>IF(M66="","No Campaign",
   IF(AND(C66&gt;=VLOOKUP(M66,Cleaned_Campaign_Data!B:D,2,FALSE),
          C66&lt;=VLOOKUP(M66,Cleaned_Campaign_Data!B:D,3,FALSE)),
      "During","Before"))</f>
        <v>No Campaign</v>
      </c>
    </row>
    <row r="67" spans="1:14" x14ac:dyDescent="0.3">
      <c r="A67" t="s">
        <v>157</v>
      </c>
      <c r="B67" t="s">
        <v>32</v>
      </c>
      <c r="C67" s="3">
        <v>45499</v>
      </c>
      <c r="D67" t="s">
        <v>73</v>
      </c>
      <c r="E67" t="s">
        <v>76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70</v>
      </c>
      <c r="M67" t="s">
        <v>7</v>
      </c>
      <c r="N67" t="str">
        <f>IF(M67="","No Campaign",
   IF(AND(C67&gt;=VLOOKUP(M67,Cleaned_Campaign_Data!B:D,2,FALSE),
          C67&lt;=VLOOKUP(M67,Cleaned_Campaign_Data!B:D,3,FALSE)),
      "During","Before"))</f>
        <v>Before</v>
      </c>
    </row>
    <row r="68" spans="1:14" x14ac:dyDescent="0.3">
      <c r="A68" t="s">
        <v>158</v>
      </c>
      <c r="B68" t="s">
        <v>30</v>
      </c>
      <c r="C68" s="3">
        <v>45745</v>
      </c>
      <c r="D68" t="s">
        <v>73</v>
      </c>
      <c r="E68" t="s">
        <v>74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70</v>
      </c>
      <c r="M68" t="s">
        <v>15</v>
      </c>
      <c r="N68" t="str">
        <f>IF(M68="","No Campaign",
   IF(AND(C68&gt;=VLOOKUP(M68,Cleaned_Campaign_Data!B:D,2,FALSE),
          C68&lt;=VLOOKUP(M68,Cleaned_Campaign_Data!B:D,3,FALSE)),
      "During","Before"))</f>
        <v>Before</v>
      </c>
    </row>
    <row r="69" spans="1:14" x14ac:dyDescent="0.3">
      <c r="A69" t="s">
        <v>159</v>
      </c>
      <c r="B69" t="s">
        <v>29</v>
      </c>
      <c r="C69" s="3">
        <v>45634</v>
      </c>
      <c r="D69" t="s">
        <v>68</v>
      </c>
      <c r="E69" t="s">
        <v>69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70</v>
      </c>
      <c r="N69" t="str">
        <f>IF(M69="","No Campaign",
   IF(AND(C69&gt;=VLOOKUP(M69,Cleaned_Campaign_Data!B:D,2,FALSE),
          C69&lt;=VLOOKUP(M69,Cleaned_Campaign_Data!B:D,3,FALSE)),
      "During","Before"))</f>
        <v>No Campaign</v>
      </c>
    </row>
    <row r="70" spans="1:14" x14ac:dyDescent="0.3">
      <c r="A70" t="s">
        <v>160</v>
      </c>
      <c r="B70" t="s">
        <v>32</v>
      </c>
      <c r="C70" s="3">
        <v>45724</v>
      </c>
      <c r="D70" t="s">
        <v>61</v>
      </c>
      <c r="E70" t="s">
        <v>62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85</v>
      </c>
      <c r="M70" t="s">
        <v>15</v>
      </c>
      <c r="N70" t="str">
        <f>IF(M70="","No Campaign",
   IF(AND(C70&gt;=VLOOKUP(M70,Cleaned_Campaign_Data!B:D,2,FALSE),
          C70&lt;=VLOOKUP(M70,Cleaned_Campaign_Data!B:D,3,FALSE)),
      "During","Before"))</f>
        <v>Before</v>
      </c>
    </row>
    <row r="71" spans="1:14" x14ac:dyDescent="0.3">
      <c r="A71" t="s">
        <v>161</v>
      </c>
      <c r="B71" t="s">
        <v>30</v>
      </c>
      <c r="C71" s="3">
        <v>45749</v>
      </c>
      <c r="D71" t="s">
        <v>93</v>
      </c>
      <c r="E71" t="s">
        <v>94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66</v>
      </c>
      <c r="N71" t="str">
        <f>IF(M71="","No Campaign",
   IF(AND(C71&gt;=VLOOKUP(M71,Cleaned_Campaign_Data!B:D,2,FALSE),
          C71&lt;=VLOOKUP(M71,Cleaned_Campaign_Data!B:D,3,FALSE)),
      "During","Before"))</f>
        <v>No Campaign</v>
      </c>
    </row>
    <row r="72" spans="1:14" x14ac:dyDescent="0.3">
      <c r="A72" t="s">
        <v>162</v>
      </c>
      <c r="B72" t="s">
        <v>31</v>
      </c>
      <c r="C72" s="3">
        <v>45537</v>
      </c>
      <c r="D72" t="s">
        <v>73</v>
      </c>
      <c r="E72" t="s">
        <v>89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66</v>
      </c>
      <c r="M72" t="s">
        <v>11</v>
      </c>
      <c r="N72" t="str">
        <f>IF(M72="","No Campaign",
   IF(AND(C72&gt;=VLOOKUP(M72,Cleaned_Campaign_Data!B:D,2,FALSE),
          C72&lt;=VLOOKUP(M72,Cleaned_Campaign_Data!B:D,3,FALSE)),
      "During","Before"))</f>
        <v>Before</v>
      </c>
    </row>
    <row r="73" spans="1:14" x14ac:dyDescent="0.3">
      <c r="A73" t="s">
        <v>163</v>
      </c>
      <c r="B73" t="s">
        <v>31</v>
      </c>
      <c r="C73" s="3">
        <v>45719</v>
      </c>
      <c r="D73" t="s">
        <v>57</v>
      </c>
      <c r="E73" t="s">
        <v>65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70</v>
      </c>
      <c r="M73" t="s">
        <v>11</v>
      </c>
      <c r="N73" t="str">
        <f>IF(M73="","No Campaign",
   IF(AND(C73&gt;=VLOOKUP(M73,Cleaned_Campaign_Data!B:D,2,FALSE),
          C73&lt;=VLOOKUP(M73,Cleaned_Campaign_Data!B:D,3,FALSE)),
      "During","Before"))</f>
        <v>Before</v>
      </c>
    </row>
    <row r="74" spans="1:14" x14ac:dyDescent="0.3">
      <c r="A74" t="s">
        <v>164</v>
      </c>
      <c r="B74" t="s">
        <v>30</v>
      </c>
      <c r="C74" s="3">
        <v>45583</v>
      </c>
      <c r="D74" t="s">
        <v>68</v>
      </c>
      <c r="E74" t="s">
        <v>91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85</v>
      </c>
      <c r="M74" t="s">
        <v>19</v>
      </c>
      <c r="N74" t="str">
        <f>IF(M74="","No Campaign",
   IF(AND(C74&gt;=VLOOKUP(M74,Cleaned_Campaign_Data!B:D,2,FALSE),
          C74&lt;=VLOOKUP(M74,Cleaned_Campaign_Data!B:D,3,FALSE)),
      "During","Before"))</f>
        <v>Before</v>
      </c>
    </row>
    <row r="75" spans="1:14" x14ac:dyDescent="0.3">
      <c r="A75" t="s">
        <v>165</v>
      </c>
      <c r="B75" t="s">
        <v>31</v>
      </c>
      <c r="C75" s="3">
        <v>45593</v>
      </c>
      <c r="D75" t="s">
        <v>57</v>
      </c>
      <c r="E75" t="s">
        <v>65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66</v>
      </c>
      <c r="M75" t="s">
        <v>15</v>
      </c>
      <c r="N75" t="str">
        <f>IF(M75="","No Campaign",
   IF(AND(C75&gt;=VLOOKUP(M75,Cleaned_Campaign_Data!B:D,2,FALSE),
          C75&lt;=VLOOKUP(M75,Cleaned_Campaign_Data!B:D,3,FALSE)),
      "During","Before"))</f>
        <v>Before</v>
      </c>
    </row>
    <row r="76" spans="1:14" x14ac:dyDescent="0.3">
      <c r="A76" t="s">
        <v>166</v>
      </c>
      <c r="B76" t="s">
        <v>29</v>
      </c>
      <c r="C76" s="3">
        <v>45505</v>
      </c>
      <c r="D76" t="s">
        <v>57</v>
      </c>
      <c r="E76" t="s">
        <v>98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66</v>
      </c>
      <c r="M76" t="s">
        <v>19</v>
      </c>
      <c r="N76" t="str">
        <f>IF(M76="","No Campaign",
   IF(AND(C76&gt;=VLOOKUP(M76,Cleaned_Campaign_Data!B:D,2,FALSE),
          C76&lt;=VLOOKUP(M76,Cleaned_Campaign_Data!B:D,3,FALSE)),
      "During","Before"))</f>
        <v>Before</v>
      </c>
    </row>
    <row r="77" spans="1:14" x14ac:dyDescent="0.3">
      <c r="A77" t="s">
        <v>167</v>
      </c>
      <c r="B77" t="s">
        <v>32</v>
      </c>
      <c r="C77" s="3">
        <v>45603</v>
      </c>
      <c r="D77" t="s">
        <v>68</v>
      </c>
      <c r="E77" t="s">
        <v>136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66</v>
      </c>
      <c r="M77" t="s">
        <v>19</v>
      </c>
      <c r="N77" t="str">
        <f>IF(M77="","No Campaign",
   IF(AND(C77&gt;=VLOOKUP(M77,Cleaned_Campaign_Data!B:D,2,FALSE),
          C77&lt;=VLOOKUP(M77,Cleaned_Campaign_Data!B:D,3,FALSE)),
      "During","Before"))</f>
        <v>Before</v>
      </c>
    </row>
    <row r="78" spans="1:14" x14ac:dyDescent="0.3">
      <c r="A78" t="s">
        <v>168</v>
      </c>
      <c r="B78" t="s">
        <v>30</v>
      </c>
      <c r="C78" s="3">
        <v>45720</v>
      </c>
      <c r="D78" t="s">
        <v>68</v>
      </c>
      <c r="E78" t="s">
        <v>91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66</v>
      </c>
      <c r="N78" t="str">
        <f>IF(M78="","No Campaign",
   IF(AND(C78&gt;=VLOOKUP(M78,Cleaned_Campaign_Data!B:D,2,FALSE),
          C78&lt;=VLOOKUP(M78,Cleaned_Campaign_Data!B:D,3,FALSE)),
      "During","Before"))</f>
        <v>No Campaign</v>
      </c>
    </row>
    <row r="79" spans="1:14" x14ac:dyDescent="0.3">
      <c r="A79" t="s">
        <v>169</v>
      </c>
      <c r="B79" t="s">
        <v>32</v>
      </c>
      <c r="C79" s="3">
        <v>45460</v>
      </c>
      <c r="D79" t="s">
        <v>78</v>
      </c>
      <c r="E79" t="s">
        <v>126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85</v>
      </c>
      <c r="M79" t="s">
        <v>19</v>
      </c>
      <c r="N79" t="str">
        <f>IF(M79="","No Campaign",
   IF(AND(C79&gt;=VLOOKUP(M79,Cleaned_Campaign_Data!B:D,2,FALSE),
          C79&lt;=VLOOKUP(M79,Cleaned_Campaign_Data!B:D,3,FALSE)),
      "During","Before"))</f>
        <v>Before</v>
      </c>
    </row>
    <row r="80" spans="1:14" x14ac:dyDescent="0.3">
      <c r="A80" t="s">
        <v>170</v>
      </c>
      <c r="B80" t="s">
        <v>29</v>
      </c>
      <c r="C80" s="3">
        <v>45574</v>
      </c>
      <c r="D80" t="s">
        <v>73</v>
      </c>
      <c r="E80" t="s">
        <v>102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70</v>
      </c>
      <c r="M80" t="s">
        <v>11</v>
      </c>
      <c r="N80" t="str">
        <f>IF(M80="","No Campaign",
   IF(AND(C80&gt;=VLOOKUP(M80,Cleaned_Campaign_Data!B:D,2,FALSE),
          C80&lt;=VLOOKUP(M80,Cleaned_Campaign_Data!B:D,3,FALSE)),
      "During","Before"))</f>
        <v>During</v>
      </c>
    </row>
    <row r="81" spans="1:14" x14ac:dyDescent="0.3">
      <c r="A81" t="s">
        <v>171</v>
      </c>
      <c r="B81" t="s">
        <v>29</v>
      </c>
      <c r="C81" s="3">
        <v>45456</v>
      </c>
      <c r="D81" t="s">
        <v>68</v>
      </c>
      <c r="E81" t="s">
        <v>69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85</v>
      </c>
      <c r="N81" t="str">
        <f>IF(M81="","No Campaign",
   IF(AND(C81&gt;=VLOOKUP(M81,Cleaned_Campaign_Data!B:D,2,FALSE),
          C81&lt;=VLOOKUP(M81,Cleaned_Campaign_Data!B:D,3,FALSE)),
      "During","Before"))</f>
        <v>No Campaign</v>
      </c>
    </row>
    <row r="82" spans="1:14" x14ac:dyDescent="0.3">
      <c r="A82" t="s">
        <v>172</v>
      </c>
      <c r="B82" t="s">
        <v>29</v>
      </c>
      <c r="C82" s="3">
        <v>45584</v>
      </c>
      <c r="D82" t="s">
        <v>68</v>
      </c>
      <c r="E82" t="s">
        <v>69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66</v>
      </c>
      <c r="M82" t="s">
        <v>15</v>
      </c>
      <c r="N82" t="str">
        <f>IF(M82="","No Campaign",
   IF(AND(C82&gt;=VLOOKUP(M82,Cleaned_Campaign_Data!B:D,2,FALSE),
          C82&lt;=VLOOKUP(M82,Cleaned_Campaign_Data!B:D,3,FALSE)),
      "During","Before"))</f>
        <v>Before</v>
      </c>
    </row>
    <row r="83" spans="1:14" x14ac:dyDescent="0.3">
      <c r="A83" t="s">
        <v>173</v>
      </c>
      <c r="B83" t="s">
        <v>29</v>
      </c>
      <c r="C83" s="3">
        <v>45497</v>
      </c>
      <c r="D83" t="s">
        <v>78</v>
      </c>
      <c r="E83" t="s">
        <v>174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175</v>
      </c>
      <c r="M83" t="s">
        <v>15</v>
      </c>
      <c r="N83" t="str">
        <f>IF(M83="","No Campaign",
   IF(AND(C83&gt;=VLOOKUP(M83,Cleaned_Campaign_Data!B:D,2,FALSE),
          C83&lt;=VLOOKUP(M83,Cleaned_Campaign_Data!B:D,3,FALSE)),
      "During","Before"))</f>
        <v>Before</v>
      </c>
    </row>
    <row r="84" spans="1:14" x14ac:dyDescent="0.3">
      <c r="A84" t="s">
        <v>176</v>
      </c>
      <c r="B84" t="s">
        <v>31</v>
      </c>
      <c r="C84" s="3">
        <v>45580</v>
      </c>
      <c r="D84" t="s">
        <v>93</v>
      </c>
      <c r="E84" t="s">
        <v>177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70</v>
      </c>
      <c r="N84" t="str">
        <f>IF(M84="","No Campaign",
   IF(AND(C84&gt;=VLOOKUP(M84,Cleaned_Campaign_Data!B:D,2,FALSE),
          C84&lt;=VLOOKUP(M84,Cleaned_Campaign_Data!B:D,3,FALSE)),
      "During","Before"))</f>
        <v>No Campaign</v>
      </c>
    </row>
    <row r="85" spans="1:14" x14ac:dyDescent="0.3">
      <c r="A85" t="s">
        <v>178</v>
      </c>
      <c r="B85" t="s">
        <v>30</v>
      </c>
      <c r="C85" s="3">
        <v>45635</v>
      </c>
      <c r="D85" t="s">
        <v>78</v>
      </c>
      <c r="E85" t="s">
        <v>83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85</v>
      </c>
      <c r="M85" t="s">
        <v>19</v>
      </c>
      <c r="N85" t="str">
        <f>IF(M85="","No Campaign",
   IF(AND(C85&gt;=VLOOKUP(M85,Cleaned_Campaign_Data!B:D,2,FALSE),
          C85&lt;=VLOOKUP(M85,Cleaned_Campaign_Data!B:D,3,FALSE)),
      "During","Before"))</f>
        <v>Before</v>
      </c>
    </row>
    <row r="86" spans="1:14" x14ac:dyDescent="0.3">
      <c r="A86" t="s">
        <v>179</v>
      </c>
      <c r="B86" t="s">
        <v>29</v>
      </c>
      <c r="C86" s="3">
        <v>45766</v>
      </c>
      <c r="D86" t="s">
        <v>78</v>
      </c>
      <c r="E86" t="s">
        <v>174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85</v>
      </c>
      <c r="M86" t="s">
        <v>7</v>
      </c>
      <c r="N86" t="str">
        <f>IF(M86="","No Campaign",
   IF(AND(C86&gt;=VLOOKUP(M86,Cleaned_Campaign_Data!B:D,2,FALSE),
          C86&lt;=VLOOKUP(M86,Cleaned_Campaign_Data!B:D,3,FALSE)),
      "During","Before"))</f>
        <v>Before</v>
      </c>
    </row>
    <row r="87" spans="1:14" x14ac:dyDescent="0.3">
      <c r="A87" t="s">
        <v>180</v>
      </c>
      <c r="B87" t="s">
        <v>31</v>
      </c>
      <c r="C87" s="3">
        <v>45684</v>
      </c>
      <c r="D87" t="s">
        <v>61</v>
      </c>
      <c r="E87" t="s">
        <v>111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143</v>
      </c>
      <c r="M87" t="s">
        <v>19</v>
      </c>
      <c r="N87" t="str">
        <f>IF(M87="","No Campaign",
   IF(AND(C87&gt;=VLOOKUP(M87,Cleaned_Campaign_Data!B:D,2,FALSE),
          C87&lt;=VLOOKUP(M87,Cleaned_Campaign_Data!B:D,3,FALSE)),
      "During","Before"))</f>
        <v>Before</v>
      </c>
    </row>
    <row r="88" spans="1:14" x14ac:dyDescent="0.3">
      <c r="A88" t="s">
        <v>181</v>
      </c>
      <c r="B88" t="s">
        <v>32</v>
      </c>
      <c r="C88" s="3">
        <v>45449</v>
      </c>
      <c r="D88" t="s">
        <v>93</v>
      </c>
      <c r="E88" t="s">
        <v>133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85</v>
      </c>
      <c r="M88" t="s">
        <v>15</v>
      </c>
      <c r="N88" t="str">
        <f>IF(M88="","No Campaign",
   IF(AND(C88&gt;=VLOOKUP(M88,Cleaned_Campaign_Data!B:D,2,FALSE),
          C88&lt;=VLOOKUP(M88,Cleaned_Campaign_Data!B:D,3,FALSE)),
      "During","Before"))</f>
        <v>Before</v>
      </c>
    </row>
    <row r="89" spans="1:14" x14ac:dyDescent="0.3">
      <c r="A89" t="s">
        <v>182</v>
      </c>
      <c r="B89" t="s">
        <v>30</v>
      </c>
      <c r="C89" s="3">
        <v>45480</v>
      </c>
      <c r="D89" t="s">
        <v>68</v>
      </c>
      <c r="E89" t="s">
        <v>91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66</v>
      </c>
      <c r="M89" t="s">
        <v>19</v>
      </c>
      <c r="N89" t="str">
        <f>IF(M89="","No Campaign",
   IF(AND(C89&gt;=VLOOKUP(M89,Cleaned_Campaign_Data!B:D,2,FALSE),
          C89&lt;=VLOOKUP(M89,Cleaned_Campaign_Data!B:D,3,FALSE)),
      "During","Before"))</f>
        <v>Before</v>
      </c>
    </row>
    <row r="90" spans="1:14" x14ac:dyDescent="0.3">
      <c r="A90" t="s">
        <v>183</v>
      </c>
      <c r="B90" t="s">
        <v>32</v>
      </c>
      <c r="C90" s="3">
        <v>45667</v>
      </c>
      <c r="D90" t="s">
        <v>78</v>
      </c>
      <c r="E90" t="s">
        <v>126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70</v>
      </c>
      <c r="N90" t="str">
        <f>IF(M90="","No Campaign",
   IF(AND(C90&gt;=VLOOKUP(M90,Cleaned_Campaign_Data!B:D,2,FALSE),
          C90&lt;=VLOOKUP(M90,Cleaned_Campaign_Data!B:D,3,FALSE)),
      "During","Before"))</f>
        <v>No Campaign</v>
      </c>
    </row>
    <row r="91" spans="1:14" x14ac:dyDescent="0.3">
      <c r="A91" t="s">
        <v>184</v>
      </c>
      <c r="B91" t="s">
        <v>29</v>
      </c>
      <c r="C91" s="3">
        <v>45446</v>
      </c>
      <c r="D91" t="s">
        <v>78</v>
      </c>
      <c r="E91" t="s">
        <v>174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66</v>
      </c>
      <c r="M91" t="s">
        <v>19</v>
      </c>
      <c r="N91" t="str">
        <f>IF(M91="","No Campaign",
   IF(AND(C91&gt;=VLOOKUP(M91,Cleaned_Campaign_Data!B:D,2,FALSE),
          C91&lt;=VLOOKUP(M91,Cleaned_Campaign_Data!B:D,3,FALSE)),
      "During","Before"))</f>
        <v>Before</v>
      </c>
    </row>
    <row r="92" spans="1:14" x14ac:dyDescent="0.3">
      <c r="A92" t="s">
        <v>185</v>
      </c>
      <c r="B92" t="s">
        <v>30</v>
      </c>
      <c r="C92" s="3">
        <v>45740</v>
      </c>
      <c r="D92" t="s">
        <v>78</v>
      </c>
      <c r="E92" t="s">
        <v>83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70</v>
      </c>
      <c r="M92" t="s">
        <v>19</v>
      </c>
      <c r="N92" t="str">
        <f>IF(M92="","No Campaign",
   IF(AND(C92&gt;=VLOOKUP(M92,Cleaned_Campaign_Data!B:D,2,FALSE),
          C92&lt;=VLOOKUP(M92,Cleaned_Campaign_Data!B:D,3,FALSE)),
      "During","Before"))</f>
        <v>During</v>
      </c>
    </row>
    <row r="93" spans="1:14" x14ac:dyDescent="0.3">
      <c r="A93" t="s">
        <v>186</v>
      </c>
      <c r="B93" t="s">
        <v>32</v>
      </c>
      <c r="C93" s="3">
        <v>45586</v>
      </c>
      <c r="D93" t="s">
        <v>68</v>
      </c>
      <c r="E93" t="s">
        <v>136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85</v>
      </c>
      <c r="M93" t="s">
        <v>15</v>
      </c>
      <c r="N93" t="str">
        <f>IF(M93="","No Campaign",
   IF(AND(C93&gt;=VLOOKUP(M93,Cleaned_Campaign_Data!B:D,2,FALSE),
          C93&lt;=VLOOKUP(M93,Cleaned_Campaign_Data!B:D,3,FALSE)),
      "During","Before"))</f>
        <v>Before</v>
      </c>
    </row>
    <row r="94" spans="1:14" x14ac:dyDescent="0.3">
      <c r="A94" t="s">
        <v>187</v>
      </c>
      <c r="B94" t="s">
        <v>29</v>
      </c>
      <c r="C94" s="3">
        <v>45637</v>
      </c>
      <c r="D94" t="s">
        <v>93</v>
      </c>
      <c r="E94" t="s">
        <v>100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70</v>
      </c>
      <c r="M94" t="s">
        <v>15</v>
      </c>
      <c r="N94" t="str">
        <f>IF(M94="","No Campaign",
   IF(AND(C94&gt;=VLOOKUP(M94,Cleaned_Campaign_Data!B:D,2,FALSE),
          C94&lt;=VLOOKUP(M94,Cleaned_Campaign_Data!B:D,3,FALSE)),
      "During","Before"))</f>
        <v>Before</v>
      </c>
    </row>
    <row r="95" spans="1:14" x14ac:dyDescent="0.3">
      <c r="A95" t="s">
        <v>188</v>
      </c>
      <c r="B95" t="s">
        <v>29</v>
      </c>
      <c r="C95" s="3">
        <v>45603</v>
      </c>
      <c r="D95" t="s">
        <v>78</v>
      </c>
      <c r="E95" t="s">
        <v>174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85</v>
      </c>
      <c r="M95" t="s">
        <v>15</v>
      </c>
      <c r="N95" t="str">
        <f>IF(M95="","No Campaign",
   IF(AND(C95&gt;=VLOOKUP(M95,Cleaned_Campaign_Data!B:D,2,FALSE),
          C95&lt;=VLOOKUP(M95,Cleaned_Campaign_Data!B:D,3,FALSE)),
      "During","Before"))</f>
        <v>Before</v>
      </c>
    </row>
    <row r="96" spans="1:14" x14ac:dyDescent="0.3">
      <c r="A96" t="s">
        <v>189</v>
      </c>
      <c r="B96" t="s">
        <v>29</v>
      </c>
      <c r="C96" s="3">
        <v>45604</v>
      </c>
      <c r="D96" t="s">
        <v>61</v>
      </c>
      <c r="E96" t="s">
        <v>116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85</v>
      </c>
      <c r="M96" t="s">
        <v>19</v>
      </c>
      <c r="N96" t="str">
        <f>IF(M96="","No Campaign",
   IF(AND(C96&gt;=VLOOKUP(M96,Cleaned_Campaign_Data!B:D,2,FALSE),
          C96&lt;=VLOOKUP(M96,Cleaned_Campaign_Data!B:D,3,FALSE)),
      "During","Before"))</f>
        <v>Before</v>
      </c>
    </row>
    <row r="97" spans="1:14" x14ac:dyDescent="0.3">
      <c r="A97" t="s">
        <v>190</v>
      </c>
      <c r="B97" t="s">
        <v>32</v>
      </c>
      <c r="C97" s="3">
        <v>45545</v>
      </c>
      <c r="D97" t="s">
        <v>78</v>
      </c>
      <c r="E97" t="s">
        <v>126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85</v>
      </c>
      <c r="N97" t="str">
        <f>IF(M97="","No Campaign",
   IF(AND(C97&gt;=VLOOKUP(M97,Cleaned_Campaign_Data!B:D,2,FALSE),
          C97&lt;=VLOOKUP(M97,Cleaned_Campaign_Data!B:D,3,FALSE)),
      "During","Before"))</f>
        <v>No Campaign</v>
      </c>
    </row>
    <row r="98" spans="1:14" x14ac:dyDescent="0.3">
      <c r="A98" t="s">
        <v>191</v>
      </c>
      <c r="B98" t="s">
        <v>29</v>
      </c>
      <c r="C98" s="3">
        <v>45517</v>
      </c>
      <c r="D98" t="s">
        <v>78</v>
      </c>
      <c r="E98" t="s">
        <v>174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106</v>
      </c>
      <c r="M98" t="s">
        <v>11</v>
      </c>
      <c r="N98" t="str">
        <f>IF(M98="","No Campaign",
   IF(AND(C98&gt;=VLOOKUP(M98,Cleaned_Campaign_Data!B:D,2,FALSE),
          C98&lt;=VLOOKUP(M98,Cleaned_Campaign_Data!B:D,3,FALSE)),
      "During","Before"))</f>
        <v>Before</v>
      </c>
    </row>
    <row r="99" spans="1:14" x14ac:dyDescent="0.3">
      <c r="A99" t="s">
        <v>192</v>
      </c>
      <c r="B99" t="s">
        <v>32</v>
      </c>
      <c r="C99" s="3">
        <v>45453</v>
      </c>
      <c r="D99" t="s">
        <v>68</v>
      </c>
      <c r="E99" t="s">
        <v>136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85</v>
      </c>
      <c r="M99" t="s">
        <v>19</v>
      </c>
      <c r="N99" t="str">
        <f>IF(M99="","No Campaign",
   IF(AND(C99&gt;=VLOOKUP(M99,Cleaned_Campaign_Data!B:D,2,FALSE),
          C99&lt;=VLOOKUP(M99,Cleaned_Campaign_Data!B:D,3,FALSE)),
      "During","Before"))</f>
        <v>Before</v>
      </c>
    </row>
    <row r="100" spans="1:14" x14ac:dyDescent="0.3">
      <c r="A100" t="s">
        <v>193</v>
      </c>
      <c r="B100" t="s">
        <v>31</v>
      </c>
      <c r="C100" s="3">
        <v>45475</v>
      </c>
      <c r="D100" t="s">
        <v>73</v>
      </c>
      <c r="E100" t="s">
        <v>89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85</v>
      </c>
      <c r="M100" t="s">
        <v>15</v>
      </c>
      <c r="N100" t="str">
        <f>IF(M100="","No Campaign",
   IF(AND(C100&gt;=VLOOKUP(M100,Cleaned_Campaign_Data!B:D,2,FALSE),
          C100&lt;=VLOOKUP(M100,Cleaned_Campaign_Data!B:D,3,FALSE)),
      "During","Before"))</f>
        <v>Before</v>
      </c>
    </row>
    <row r="101" spans="1:14" x14ac:dyDescent="0.3">
      <c r="A101" t="s">
        <v>194</v>
      </c>
      <c r="B101" t="s">
        <v>31</v>
      </c>
      <c r="C101" s="3">
        <v>45698</v>
      </c>
      <c r="D101" t="s">
        <v>93</v>
      </c>
      <c r="E101" t="s">
        <v>177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70</v>
      </c>
      <c r="N101" t="str">
        <f>IF(M101="","No Campaign",
   IF(AND(C101&gt;=VLOOKUP(M101,Cleaned_Campaign_Data!B:D,2,FALSE),
          C101&lt;=VLOOKUP(M101,Cleaned_Campaign_Data!B:D,3,FALSE)),
      "During","Before"))</f>
        <v>No Campaign</v>
      </c>
    </row>
    <row r="102" spans="1:14" x14ac:dyDescent="0.3">
      <c r="A102" t="s">
        <v>195</v>
      </c>
      <c r="B102" t="s">
        <v>31</v>
      </c>
      <c r="C102" s="3">
        <v>45583</v>
      </c>
      <c r="D102" t="s">
        <v>93</v>
      </c>
      <c r="E102" t="s">
        <v>177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85</v>
      </c>
      <c r="M102" t="s">
        <v>15</v>
      </c>
      <c r="N102" t="str">
        <f>IF(M102="","No Campaign",
   IF(AND(C102&gt;=VLOOKUP(M102,Cleaned_Campaign_Data!B:D,2,FALSE),
          C102&lt;=VLOOKUP(M102,Cleaned_Campaign_Data!B:D,3,FALSE)),
      "During","Before"))</f>
        <v>Before</v>
      </c>
    </row>
    <row r="103" spans="1:14" x14ac:dyDescent="0.3">
      <c r="A103" t="s">
        <v>196</v>
      </c>
      <c r="B103" t="s">
        <v>32</v>
      </c>
      <c r="C103" s="3">
        <v>45553</v>
      </c>
      <c r="D103" t="s">
        <v>57</v>
      </c>
      <c r="E103" t="s">
        <v>58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70</v>
      </c>
      <c r="M103" t="s">
        <v>11</v>
      </c>
      <c r="N103" t="str">
        <f>IF(M103="","No Campaign",
   IF(AND(C103&gt;=VLOOKUP(M103,Cleaned_Campaign_Data!B:D,2,FALSE),
          C103&lt;=VLOOKUP(M103,Cleaned_Campaign_Data!B:D,3,FALSE)),
      "During","Before"))</f>
        <v>Before</v>
      </c>
    </row>
    <row r="104" spans="1:14" x14ac:dyDescent="0.3">
      <c r="A104" t="s">
        <v>197</v>
      </c>
      <c r="B104" t="s">
        <v>30</v>
      </c>
      <c r="C104" s="3">
        <v>45454</v>
      </c>
      <c r="D104" t="s">
        <v>78</v>
      </c>
      <c r="E104" t="s">
        <v>83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70</v>
      </c>
      <c r="M104" t="s">
        <v>11</v>
      </c>
      <c r="N104" t="str">
        <f>IF(M104="","No Campaign",
   IF(AND(C104&gt;=VLOOKUP(M104,Cleaned_Campaign_Data!B:D,2,FALSE),
          C104&lt;=VLOOKUP(M104,Cleaned_Campaign_Data!B:D,3,FALSE)),
      "During","Before"))</f>
        <v>Before</v>
      </c>
    </row>
    <row r="105" spans="1:14" x14ac:dyDescent="0.3">
      <c r="A105" t="s">
        <v>198</v>
      </c>
      <c r="B105" t="s">
        <v>31</v>
      </c>
      <c r="C105" s="3">
        <v>45739</v>
      </c>
      <c r="D105" t="s">
        <v>68</v>
      </c>
      <c r="E105" t="s">
        <v>139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66</v>
      </c>
      <c r="M105" t="s">
        <v>15</v>
      </c>
      <c r="N105" t="str">
        <f>IF(M105="","No Campaign",
   IF(AND(C105&gt;=VLOOKUP(M105,Cleaned_Campaign_Data!B:D,2,FALSE),
          C105&lt;=VLOOKUP(M105,Cleaned_Campaign_Data!B:D,3,FALSE)),
      "During","Before"))</f>
        <v>Before</v>
      </c>
    </row>
    <row r="106" spans="1:14" x14ac:dyDescent="0.3">
      <c r="A106" t="s">
        <v>199</v>
      </c>
      <c r="B106" t="s">
        <v>29</v>
      </c>
      <c r="C106" s="3">
        <v>45457</v>
      </c>
      <c r="D106" t="s">
        <v>73</v>
      </c>
      <c r="E106" t="s">
        <v>102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85</v>
      </c>
      <c r="M106" t="s">
        <v>7</v>
      </c>
      <c r="N106" t="str">
        <f>IF(M106="","No Campaign",
   IF(AND(C106&gt;=VLOOKUP(M106,Cleaned_Campaign_Data!B:D,2,FALSE),
          C106&lt;=VLOOKUP(M106,Cleaned_Campaign_Data!B:D,3,FALSE)),
      "During","Before"))</f>
        <v>Before</v>
      </c>
    </row>
    <row r="107" spans="1:14" x14ac:dyDescent="0.3">
      <c r="A107" t="s">
        <v>200</v>
      </c>
      <c r="B107" t="s">
        <v>29</v>
      </c>
      <c r="C107" s="3">
        <v>45692</v>
      </c>
      <c r="D107" t="s">
        <v>78</v>
      </c>
      <c r="E107" t="s">
        <v>174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66</v>
      </c>
      <c r="M107" t="s">
        <v>19</v>
      </c>
      <c r="N107" t="str">
        <f>IF(M107="","No Campaign",
   IF(AND(C107&gt;=VLOOKUP(M107,Cleaned_Campaign_Data!B:D,2,FALSE),
          C107&lt;=VLOOKUP(M107,Cleaned_Campaign_Data!B:D,3,FALSE)),
      "During","Before"))</f>
        <v>Before</v>
      </c>
    </row>
    <row r="108" spans="1:14" x14ac:dyDescent="0.3">
      <c r="A108" t="s">
        <v>201</v>
      </c>
      <c r="B108" t="s">
        <v>31</v>
      </c>
      <c r="C108" s="3">
        <v>45464</v>
      </c>
      <c r="D108" t="s">
        <v>78</v>
      </c>
      <c r="E108" t="s">
        <v>79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66</v>
      </c>
      <c r="N108" t="str">
        <f>IF(M108="","No Campaign",
   IF(AND(C108&gt;=VLOOKUP(M108,Cleaned_Campaign_Data!B:D,2,FALSE),
          C108&lt;=VLOOKUP(M108,Cleaned_Campaign_Data!B:D,3,FALSE)),
      "During","Before"))</f>
        <v>No Campaign</v>
      </c>
    </row>
    <row r="109" spans="1:14" x14ac:dyDescent="0.3">
      <c r="A109" t="s">
        <v>202</v>
      </c>
      <c r="B109" t="s">
        <v>32</v>
      </c>
      <c r="C109" s="3">
        <v>45741</v>
      </c>
      <c r="D109" t="s">
        <v>93</v>
      </c>
      <c r="E109" t="s">
        <v>133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66</v>
      </c>
      <c r="M109" t="s">
        <v>11</v>
      </c>
      <c r="N109" t="str">
        <f>IF(M109="","No Campaign",
   IF(AND(C109&gt;=VLOOKUP(M109,Cleaned_Campaign_Data!B:D,2,FALSE),
          C109&lt;=VLOOKUP(M109,Cleaned_Campaign_Data!B:D,3,FALSE)),
      "During","Before"))</f>
        <v>Before</v>
      </c>
    </row>
    <row r="110" spans="1:14" x14ac:dyDescent="0.3">
      <c r="A110" t="s">
        <v>203</v>
      </c>
      <c r="B110" t="s">
        <v>32</v>
      </c>
      <c r="C110" s="3">
        <v>45512</v>
      </c>
      <c r="D110" t="s">
        <v>68</v>
      </c>
      <c r="E110" t="s">
        <v>136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85</v>
      </c>
      <c r="M110" t="s">
        <v>15</v>
      </c>
      <c r="N110" t="str">
        <f>IF(M110="","No Campaign",
   IF(AND(C110&gt;=VLOOKUP(M110,Cleaned_Campaign_Data!B:D,2,FALSE),
          C110&lt;=VLOOKUP(M110,Cleaned_Campaign_Data!B:D,3,FALSE)),
      "During","Before"))</f>
        <v>Before</v>
      </c>
    </row>
    <row r="111" spans="1:14" x14ac:dyDescent="0.3">
      <c r="A111" t="s">
        <v>204</v>
      </c>
      <c r="B111" t="s">
        <v>29</v>
      </c>
      <c r="C111" s="3">
        <v>45502</v>
      </c>
      <c r="D111" t="s">
        <v>57</v>
      </c>
      <c r="E111" t="s">
        <v>98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70</v>
      </c>
      <c r="M111" t="s">
        <v>11</v>
      </c>
      <c r="N111" t="str">
        <f>IF(M111="","No Campaign",
   IF(AND(C111&gt;=VLOOKUP(M111,Cleaned_Campaign_Data!B:D,2,FALSE),
          C111&lt;=VLOOKUP(M111,Cleaned_Campaign_Data!B:D,3,FALSE)),
      "During","Before"))</f>
        <v>Before</v>
      </c>
    </row>
    <row r="112" spans="1:14" x14ac:dyDescent="0.3">
      <c r="A112" t="s">
        <v>205</v>
      </c>
      <c r="B112" t="s">
        <v>31</v>
      </c>
      <c r="C112" s="3">
        <v>45619</v>
      </c>
      <c r="D112" t="s">
        <v>78</v>
      </c>
      <c r="E112" t="s">
        <v>79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66</v>
      </c>
      <c r="M112" t="s">
        <v>11</v>
      </c>
      <c r="N112" t="str">
        <f>IF(M112="","No Campaign",
   IF(AND(C112&gt;=VLOOKUP(M112,Cleaned_Campaign_Data!B:D,2,FALSE),
          C112&lt;=VLOOKUP(M112,Cleaned_Campaign_Data!B:D,3,FALSE)),
      "During","Before"))</f>
        <v>Before</v>
      </c>
    </row>
    <row r="113" spans="1:14" x14ac:dyDescent="0.3">
      <c r="A113" t="s">
        <v>206</v>
      </c>
      <c r="B113" t="s">
        <v>32</v>
      </c>
      <c r="C113" s="3">
        <v>45570</v>
      </c>
      <c r="D113" t="s">
        <v>68</v>
      </c>
      <c r="E113" t="s">
        <v>136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85</v>
      </c>
      <c r="M113" t="s">
        <v>15</v>
      </c>
      <c r="N113" t="str">
        <f>IF(M113="","No Campaign",
   IF(AND(C113&gt;=VLOOKUP(M113,Cleaned_Campaign_Data!B:D,2,FALSE),
          C113&lt;=VLOOKUP(M113,Cleaned_Campaign_Data!B:D,3,FALSE)),
      "During","Before"))</f>
        <v>Before</v>
      </c>
    </row>
    <row r="114" spans="1:14" x14ac:dyDescent="0.3">
      <c r="A114" t="s">
        <v>207</v>
      </c>
      <c r="B114" t="s">
        <v>32</v>
      </c>
      <c r="C114" s="3">
        <v>45567</v>
      </c>
      <c r="D114" t="s">
        <v>73</v>
      </c>
      <c r="E114" t="s">
        <v>76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70</v>
      </c>
      <c r="M114" t="s">
        <v>7</v>
      </c>
      <c r="N114" t="str">
        <f>IF(M114="","No Campaign",
   IF(AND(C114&gt;=VLOOKUP(M114,Cleaned_Campaign_Data!B:D,2,FALSE),
          C114&lt;=VLOOKUP(M114,Cleaned_Campaign_Data!B:D,3,FALSE)),
      "During","Before"))</f>
        <v>Before</v>
      </c>
    </row>
    <row r="115" spans="1:14" x14ac:dyDescent="0.3">
      <c r="A115" t="s">
        <v>208</v>
      </c>
      <c r="B115" t="s">
        <v>32</v>
      </c>
      <c r="C115" s="3">
        <v>45610</v>
      </c>
      <c r="D115" t="s">
        <v>68</v>
      </c>
      <c r="E115" t="s">
        <v>136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85</v>
      </c>
      <c r="M115" t="s">
        <v>7</v>
      </c>
      <c r="N115" t="str">
        <f>IF(M115="","No Campaign",
   IF(AND(C115&gt;=VLOOKUP(M115,Cleaned_Campaign_Data!B:D,2,FALSE),
          C115&lt;=VLOOKUP(M115,Cleaned_Campaign_Data!B:D,3,FALSE)),
      "During","Before"))</f>
        <v>Before</v>
      </c>
    </row>
    <row r="116" spans="1:14" x14ac:dyDescent="0.3">
      <c r="A116" t="s">
        <v>209</v>
      </c>
      <c r="B116" t="s">
        <v>32</v>
      </c>
      <c r="C116" s="3">
        <v>45788</v>
      </c>
      <c r="D116" t="s">
        <v>78</v>
      </c>
      <c r="E116" t="s">
        <v>126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106</v>
      </c>
      <c r="M116" t="s">
        <v>19</v>
      </c>
      <c r="N116" t="str">
        <f>IF(M116="","No Campaign",
   IF(AND(C116&gt;=VLOOKUP(M116,Cleaned_Campaign_Data!B:D,2,FALSE),
          C116&lt;=VLOOKUP(M116,Cleaned_Campaign_Data!B:D,3,FALSE)),
      "During","Before"))</f>
        <v>Before</v>
      </c>
    </row>
    <row r="117" spans="1:14" x14ac:dyDescent="0.3">
      <c r="A117" t="s">
        <v>210</v>
      </c>
      <c r="B117" t="s">
        <v>31</v>
      </c>
      <c r="C117" s="3">
        <v>45734</v>
      </c>
      <c r="D117" t="s">
        <v>57</v>
      </c>
      <c r="E117" t="s">
        <v>65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66</v>
      </c>
      <c r="N117" t="str">
        <f>IF(M117="","No Campaign",
   IF(AND(C117&gt;=VLOOKUP(M117,Cleaned_Campaign_Data!B:D,2,FALSE),
          C117&lt;=VLOOKUP(M117,Cleaned_Campaign_Data!B:D,3,FALSE)),
      "During","Before"))</f>
        <v>No Campaign</v>
      </c>
    </row>
    <row r="118" spans="1:14" x14ac:dyDescent="0.3">
      <c r="A118" t="s">
        <v>211</v>
      </c>
      <c r="B118" t="s">
        <v>32</v>
      </c>
      <c r="C118" s="3">
        <v>45600</v>
      </c>
      <c r="D118" t="s">
        <v>78</v>
      </c>
      <c r="E118" t="s">
        <v>126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70</v>
      </c>
      <c r="M118" t="s">
        <v>19</v>
      </c>
      <c r="N118" t="str">
        <f>IF(M118="","No Campaign",
   IF(AND(C118&gt;=VLOOKUP(M118,Cleaned_Campaign_Data!B:D,2,FALSE),
          C118&lt;=VLOOKUP(M118,Cleaned_Campaign_Data!B:D,3,FALSE)),
      "During","Before"))</f>
        <v>Before</v>
      </c>
    </row>
    <row r="119" spans="1:14" x14ac:dyDescent="0.3">
      <c r="A119" t="s">
        <v>212</v>
      </c>
      <c r="B119" t="s">
        <v>30</v>
      </c>
      <c r="C119" s="3">
        <v>45600</v>
      </c>
      <c r="D119" t="s">
        <v>78</v>
      </c>
      <c r="E119" t="s">
        <v>83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85</v>
      </c>
      <c r="M119" t="s">
        <v>15</v>
      </c>
      <c r="N119" t="str">
        <f>IF(M119="","No Campaign",
   IF(AND(C119&gt;=VLOOKUP(M119,Cleaned_Campaign_Data!B:D,2,FALSE),
          C119&lt;=VLOOKUP(M119,Cleaned_Campaign_Data!B:D,3,FALSE)),
      "During","Before"))</f>
        <v>Before</v>
      </c>
    </row>
    <row r="120" spans="1:14" x14ac:dyDescent="0.3">
      <c r="A120" t="s">
        <v>213</v>
      </c>
      <c r="B120" t="s">
        <v>29</v>
      </c>
      <c r="C120" s="3">
        <v>45695</v>
      </c>
      <c r="D120" t="s">
        <v>57</v>
      </c>
      <c r="E120" t="s">
        <v>98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85</v>
      </c>
      <c r="N120" t="str">
        <f>IF(M120="","No Campaign",
   IF(AND(C120&gt;=VLOOKUP(M120,Cleaned_Campaign_Data!B:D,2,FALSE),
          C120&lt;=VLOOKUP(M120,Cleaned_Campaign_Data!B:D,3,FALSE)),
      "During","Before"))</f>
        <v>No Campaign</v>
      </c>
    </row>
    <row r="121" spans="1:14" x14ac:dyDescent="0.3">
      <c r="A121" t="s">
        <v>214</v>
      </c>
      <c r="B121" t="s">
        <v>30</v>
      </c>
      <c r="C121" s="3">
        <v>45586</v>
      </c>
      <c r="D121" t="s">
        <v>68</v>
      </c>
      <c r="E121" t="s">
        <v>91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70</v>
      </c>
      <c r="M121" t="s">
        <v>15</v>
      </c>
      <c r="N121" t="str">
        <f>IF(M121="","No Campaign",
   IF(AND(C121&gt;=VLOOKUP(M121,Cleaned_Campaign_Data!B:D,2,FALSE),
          C121&lt;=VLOOKUP(M121,Cleaned_Campaign_Data!B:D,3,FALSE)),
      "During","Before"))</f>
        <v>Before</v>
      </c>
    </row>
    <row r="122" spans="1:14" x14ac:dyDescent="0.3">
      <c r="A122" t="s">
        <v>215</v>
      </c>
      <c r="B122" t="s">
        <v>29</v>
      </c>
      <c r="C122" s="3">
        <v>45502</v>
      </c>
      <c r="D122" t="s">
        <v>68</v>
      </c>
      <c r="E122" t="s">
        <v>69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85</v>
      </c>
      <c r="N122" t="str">
        <f>IF(M122="","No Campaign",
   IF(AND(C122&gt;=VLOOKUP(M122,Cleaned_Campaign_Data!B:D,2,FALSE),
          C122&lt;=VLOOKUP(M122,Cleaned_Campaign_Data!B:D,3,FALSE)),
      "During","Before"))</f>
        <v>No Campaign</v>
      </c>
    </row>
    <row r="123" spans="1:14" x14ac:dyDescent="0.3">
      <c r="A123" t="s">
        <v>216</v>
      </c>
      <c r="B123" t="s">
        <v>29</v>
      </c>
      <c r="C123" s="3">
        <v>45567</v>
      </c>
      <c r="D123" t="s">
        <v>61</v>
      </c>
      <c r="E123" t="s">
        <v>116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70</v>
      </c>
      <c r="M123" t="s">
        <v>11</v>
      </c>
      <c r="N123" t="str">
        <f>IF(M123="","No Campaign",
   IF(AND(C123&gt;=VLOOKUP(M123,Cleaned_Campaign_Data!B:D,2,FALSE),
          C123&lt;=VLOOKUP(M123,Cleaned_Campaign_Data!B:D,3,FALSE)),
      "During","Before"))</f>
        <v>During</v>
      </c>
    </row>
    <row r="124" spans="1:14" x14ac:dyDescent="0.3">
      <c r="A124" t="s">
        <v>217</v>
      </c>
      <c r="B124" t="s">
        <v>29</v>
      </c>
      <c r="C124" s="3">
        <v>45457</v>
      </c>
      <c r="D124" t="s">
        <v>68</v>
      </c>
      <c r="E124" t="s">
        <v>69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70</v>
      </c>
      <c r="M124" t="s">
        <v>7</v>
      </c>
      <c r="N124" t="str">
        <f>IF(M124="","No Campaign",
   IF(AND(C124&gt;=VLOOKUP(M124,Cleaned_Campaign_Data!B:D,2,FALSE),
          C124&lt;=VLOOKUP(M124,Cleaned_Campaign_Data!B:D,3,FALSE)),
      "During","Before"))</f>
        <v>Before</v>
      </c>
    </row>
    <row r="125" spans="1:14" x14ac:dyDescent="0.3">
      <c r="A125" t="s">
        <v>218</v>
      </c>
      <c r="B125" t="s">
        <v>31</v>
      </c>
      <c r="C125" s="3">
        <v>45753</v>
      </c>
      <c r="D125" t="s">
        <v>73</v>
      </c>
      <c r="E125" t="s">
        <v>89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70</v>
      </c>
      <c r="M125" t="s">
        <v>7</v>
      </c>
      <c r="N125" t="str">
        <f>IF(M125="","No Campaign",
   IF(AND(C125&gt;=VLOOKUP(M125,Cleaned_Campaign_Data!B:D,2,FALSE),
          C125&lt;=VLOOKUP(M125,Cleaned_Campaign_Data!B:D,3,FALSE)),
      "During","Before"))</f>
        <v>Before</v>
      </c>
    </row>
    <row r="126" spans="1:14" x14ac:dyDescent="0.3">
      <c r="A126" t="s">
        <v>219</v>
      </c>
      <c r="B126" t="s">
        <v>32</v>
      </c>
      <c r="C126" s="3">
        <v>45543</v>
      </c>
      <c r="D126" t="s">
        <v>73</v>
      </c>
      <c r="E126" t="s">
        <v>76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66</v>
      </c>
      <c r="M126" t="s">
        <v>19</v>
      </c>
      <c r="N126" t="str">
        <f>IF(M126="","No Campaign",
   IF(AND(C126&gt;=VLOOKUP(M126,Cleaned_Campaign_Data!B:D,2,FALSE),
          C126&lt;=VLOOKUP(M126,Cleaned_Campaign_Data!B:D,3,FALSE)),
      "During","Before"))</f>
        <v>Before</v>
      </c>
    </row>
    <row r="127" spans="1:14" x14ac:dyDescent="0.3">
      <c r="A127" t="s">
        <v>220</v>
      </c>
      <c r="B127" t="s">
        <v>29</v>
      </c>
      <c r="C127" s="3">
        <v>45744</v>
      </c>
      <c r="D127" t="s">
        <v>73</v>
      </c>
      <c r="E127" t="s">
        <v>102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85</v>
      </c>
      <c r="N127" t="str">
        <f>IF(M127="","No Campaign",
   IF(AND(C127&gt;=VLOOKUP(M127,Cleaned_Campaign_Data!B:D,2,FALSE),
          C127&lt;=VLOOKUP(M127,Cleaned_Campaign_Data!B:D,3,FALSE)),
      "During","Before"))</f>
        <v>No Campaign</v>
      </c>
    </row>
    <row r="128" spans="1:14" x14ac:dyDescent="0.3">
      <c r="A128" t="s">
        <v>221</v>
      </c>
      <c r="B128" t="s">
        <v>30</v>
      </c>
      <c r="C128" s="3">
        <v>45684</v>
      </c>
      <c r="D128" t="s">
        <v>57</v>
      </c>
      <c r="E128" t="s">
        <v>87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85</v>
      </c>
      <c r="M128" t="s">
        <v>15</v>
      </c>
      <c r="N128" t="str">
        <f>IF(M128="","No Campaign",
   IF(AND(C128&gt;=VLOOKUP(M128,Cleaned_Campaign_Data!B:D,2,FALSE),
          C128&lt;=VLOOKUP(M128,Cleaned_Campaign_Data!B:D,3,FALSE)),
      "During","Before"))</f>
        <v>Before</v>
      </c>
    </row>
    <row r="129" spans="1:14" x14ac:dyDescent="0.3">
      <c r="A129" t="s">
        <v>222</v>
      </c>
      <c r="B129" t="s">
        <v>32</v>
      </c>
      <c r="C129" s="3">
        <v>45667</v>
      </c>
      <c r="D129" t="s">
        <v>78</v>
      </c>
      <c r="E129" t="s">
        <v>126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85</v>
      </c>
      <c r="N129" t="str">
        <f>IF(M129="","No Campaign",
   IF(AND(C129&gt;=VLOOKUP(M129,Cleaned_Campaign_Data!B:D,2,FALSE),
          C129&lt;=VLOOKUP(M129,Cleaned_Campaign_Data!B:D,3,FALSE)),
      "During","Before"))</f>
        <v>No Campaign</v>
      </c>
    </row>
    <row r="130" spans="1:14" x14ac:dyDescent="0.3">
      <c r="A130" t="s">
        <v>223</v>
      </c>
      <c r="B130" t="s">
        <v>32</v>
      </c>
      <c r="C130" s="3">
        <v>45494</v>
      </c>
      <c r="D130" t="s">
        <v>61</v>
      </c>
      <c r="E130" t="s">
        <v>62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66</v>
      </c>
      <c r="N130" t="str">
        <f>IF(M130="","No Campaign",
   IF(AND(C130&gt;=VLOOKUP(M130,Cleaned_Campaign_Data!B:D,2,FALSE),
          C130&lt;=VLOOKUP(M130,Cleaned_Campaign_Data!B:D,3,FALSE)),
      "During","Before"))</f>
        <v>No Campaign</v>
      </c>
    </row>
    <row r="131" spans="1:14" x14ac:dyDescent="0.3">
      <c r="A131" t="s">
        <v>224</v>
      </c>
      <c r="B131" t="s">
        <v>31</v>
      </c>
      <c r="C131" s="3">
        <v>45564</v>
      </c>
      <c r="D131" t="s">
        <v>57</v>
      </c>
      <c r="E131" t="s">
        <v>65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70</v>
      </c>
      <c r="M131" t="s">
        <v>19</v>
      </c>
      <c r="N131" t="str">
        <f>IF(M131="","No Campaign",
   IF(AND(C131&gt;=VLOOKUP(M131,Cleaned_Campaign_Data!B:D,2,FALSE),
          C131&lt;=VLOOKUP(M131,Cleaned_Campaign_Data!B:D,3,FALSE)),
      "During","Before"))</f>
        <v>Before</v>
      </c>
    </row>
    <row r="132" spans="1:14" x14ac:dyDescent="0.3">
      <c r="A132" t="s">
        <v>225</v>
      </c>
      <c r="B132" t="s">
        <v>29</v>
      </c>
      <c r="C132" s="3">
        <v>45586</v>
      </c>
      <c r="D132" t="s">
        <v>57</v>
      </c>
      <c r="E132" t="s">
        <v>98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85</v>
      </c>
      <c r="M132" t="s">
        <v>15</v>
      </c>
      <c r="N132" t="str">
        <f>IF(M132="","No Campaign",
   IF(AND(C132&gt;=VLOOKUP(M132,Cleaned_Campaign_Data!B:D,2,FALSE),
          C132&lt;=VLOOKUP(M132,Cleaned_Campaign_Data!B:D,3,FALSE)),
      "During","Before"))</f>
        <v>Before</v>
      </c>
    </row>
    <row r="133" spans="1:14" x14ac:dyDescent="0.3">
      <c r="A133" t="s">
        <v>226</v>
      </c>
      <c r="B133" t="s">
        <v>29</v>
      </c>
      <c r="C133" s="3">
        <v>45720</v>
      </c>
      <c r="D133" t="s">
        <v>68</v>
      </c>
      <c r="E133" t="s">
        <v>69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85</v>
      </c>
      <c r="M133" t="s">
        <v>11</v>
      </c>
      <c r="N133" t="str">
        <f>IF(M133="","No Campaign",
   IF(AND(C133&gt;=VLOOKUP(M133,Cleaned_Campaign_Data!B:D,2,FALSE),
          C133&lt;=VLOOKUP(M133,Cleaned_Campaign_Data!B:D,3,FALSE)),
      "During","Before"))</f>
        <v>Before</v>
      </c>
    </row>
    <row r="134" spans="1:14" x14ac:dyDescent="0.3">
      <c r="A134" t="s">
        <v>227</v>
      </c>
      <c r="B134" t="s">
        <v>30</v>
      </c>
      <c r="C134" s="3">
        <v>45694</v>
      </c>
      <c r="D134" t="s">
        <v>78</v>
      </c>
      <c r="E134" t="s">
        <v>83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66</v>
      </c>
      <c r="M134" t="s">
        <v>19</v>
      </c>
      <c r="N134" t="str">
        <f>IF(M134="","No Campaign",
   IF(AND(C134&gt;=VLOOKUP(M134,Cleaned_Campaign_Data!B:D,2,FALSE),
          C134&lt;=VLOOKUP(M134,Cleaned_Campaign_Data!B:D,3,FALSE)),
      "During","Before"))</f>
        <v>Before</v>
      </c>
    </row>
    <row r="135" spans="1:14" x14ac:dyDescent="0.3">
      <c r="A135" t="s">
        <v>228</v>
      </c>
      <c r="B135" t="s">
        <v>32</v>
      </c>
      <c r="C135" s="3">
        <v>45771</v>
      </c>
      <c r="D135" t="s">
        <v>57</v>
      </c>
      <c r="E135" t="s">
        <v>58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66</v>
      </c>
      <c r="M135" t="s">
        <v>7</v>
      </c>
      <c r="N135" t="str">
        <f>IF(M135="","No Campaign",
   IF(AND(C135&gt;=VLOOKUP(M135,Cleaned_Campaign_Data!B:D,2,FALSE),
          C135&lt;=VLOOKUP(M135,Cleaned_Campaign_Data!B:D,3,FALSE)),
      "During","Before"))</f>
        <v>Before</v>
      </c>
    </row>
    <row r="136" spans="1:14" x14ac:dyDescent="0.3">
      <c r="A136" t="s">
        <v>229</v>
      </c>
      <c r="B136" t="s">
        <v>30</v>
      </c>
      <c r="C136" s="3">
        <v>45624</v>
      </c>
      <c r="D136" t="s">
        <v>61</v>
      </c>
      <c r="E136" t="s">
        <v>81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85</v>
      </c>
      <c r="M136" t="s">
        <v>19</v>
      </c>
      <c r="N136" t="str">
        <f>IF(M136="","No Campaign",
   IF(AND(C136&gt;=VLOOKUP(M136,Cleaned_Campaign_Data!B:D,2,FALSE),
          C136&lt;=VLOOKUP(M136,Cleaned_Campaign_Data!B:D,3,FALSE)),
      "During","Before"))</f>
        <v>Before</v>
      </c>
    </row>
    <row r="137" spans="1:14" x14ac:dyDescent="0.3">
      <c r="A137" t="s">
        <v>230</v>
      </c>
      <c r="B137" t="s">
        <v>29</v>
      </c>
      <c r="C137" s="3">
        <v>45484</v>
      </c>
      <c r="D137" t="s">
        <v>61</v>
      </c>
      <c r="E137" t="s">
        <v>116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70</v>
      </c>
      <c r="M137" t="s">
        <v>19</v>
      </c>
      <c r="N137" t="str">
        <f>IF(M137="","No Campaign",
   IF(AND(C137&gt;=VLOOKUP(M137,Cleaned_Campaign_Data!B:D,2,FALSE),
          C137&lt;=VLOOKUP(M137,Cleaned_Campaign_Data!B:D,3,FALSE)),
      "During","Before"))</f>
        <v>Before</v>
      </c>
    </row>
    <row r="138" spans="1:14" x14ac:dyDescent="0.3">
      <c r="A138" t="s">
        <v>231</v>
      </c>
      <c r="B138" t="s">
        <v>30</v>
      </c>
      <c r="C138" s="3">
        <v>45504</v>
      </c>
      <c r="D138" t="s">
        <v>93</v>
      </c>
      <c r="E138" t="s">
        <v>94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85</v>
      </c>
      <c r="N138" t="str">
        <f>IF(M138="","No Campaign",
   IF(AND(C138&gt;=VLOOKUP(M138,Cleaned_Campaign_Data!B:D,2,FALSE),
          C138&lt;=VLOOKUP(M138,Cleaned_Campaign_Data!B:D,3,FALSE)),
      "During","Before"))</f>
        <v>No Campaign</v>
      </c>
    </row>
    <row r="139" spans="1:14" x14ac:dyDescent="0.3">
      <c r="A139" t="s">
        <v>232</v>
      </c>
      <c r="B139" t="s">
        <v>32</v>
      </c>
      <c r="C139" s="3">
        <v>45745</v>
      </c>
      <c r="D139" t="s">
        <v>78</v>
      </c>
      <c r="E139" t="s">
        <v>126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85</v>
      </c>
      <c r="M139" t="s">
        <v>15</v>
      </c>
      <c r="N139" t="str">
        <f>IF(M139="","No Campaign",
   IF(AND(C139&gt;=VLOOKUP(M139,Cleaned_Campaign_Data!B:D,2,FALSE),
          C139&lt;=VLOOKUP(M139,Cleaned_Campaign_Data!B:D,3,FALSE)),
      "During","Before"))</f>
        <v>Before</v>
      </c>
    </row>
    <row r="140" spans="1:14" x14ac:dyDescent="0.3">
      <c r="A140" t="s">
        <v>233</v>
      </c>
      <c r="B140" t="s">
        <v>31</v>
      </c>
      <c r="C140" s="3">
        <v>45594</v>
      </c>
      <c r="D140" t="s">
        <v>61</v>
      </c>
      <c r="E140" t="s">
        <v>111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70</v>
      </c>
      <c r="M140" t="s">
        <v>7</v>
      </c>
      <c r="N140" t="str">
        <f>IF(M140="","No Campaign",
   IF(AND(C140&gt;=VLOOKUP(M140,Cleaned_Campaign_Data!B:D,2,FALSE),
          C140&lt;=VLOOKUP(M140,Cleaned_Campaign_Data!B:D,3,FALSE)),
      "During","Before"))</f>
        <v>Before</v>
      </c>
    </row>
    <row r="141" spans="1:14" x14ac:dyDescent="0.3">
      <c r="A141" t="s">
        <v>234</v>
      </c>
      <c r="B141" t="s">
        <v>30</v>
      </c>
      <c r="C141" s="3">
        <v>45488</v>
      </c>
      <c r="D141" t="s">
        <v>78</v>
      </c>
      <c r="E141" t="s">
        <v>83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235</v>
      </c>
      <c r="M141" t="s">
        <v>11</v>
      </c>
      <c r="N141" t="str">
        <f>IF(M141="","No Campaign",
   IF(AND(C141&gt;=VLOOKUP(M141,Cleaned_Campaign_Data!B:D,2,FALSE),
          C141&lt;=VLOOKUP(M141,Cleaned_Campaign_Data!B:D,3,FALSE)),
      "During","Before"))</f>
        <v>Before</v>
      </c>
    </row>
    <row r="142" spans="1:14" x14ac:dyDescent="0.3">
      <c r="A142" t="s">
        <v>236</v>
      </c>
      <c r="B142" t="s">
        <v>32</v>
      </c>
      <c r="C142" s="3">
        <v>45535</v>
      </c>
      <c r="D142" t="s">
        <v>78</v>
      </c>
      <c r="E142" t="s">
        <v>126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85</v>
      </c>
      <c r="N142" t="str">
        <f>IF(M142="","No Campaign",
   IF(AND(C142&gt;=VLOOKUP(M142,Cleaned_Campaign_Data!B:D,2,FALSE),
          C142&lt;=VLOOKUP(M142,Cleaned_Campaign_Data!B:D,3,FALSE)),
      "During","Before"))</f>
        <v>No Campaign</v>
      </c>
    </row>
    <row r="143" spans="1:14" x14ac:dyDescent="0.3">
      <c r="A143" t="s">
        <v>237</v>
      </c>
      <c r="B143" t="s">
        <v>31</v>
      </c>
      <c r="C143" s="3">
        <v>45741</v>
      </c>
      <c r="D143" t="s">
        <v>68</v>
      </c>
      <c r="E143" t="s">
        <v>139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85</v>
      </c>
      <c r="M143" t="s">
        <v>19</v>
      </c>
      <c r="N143" t="str">
        <f>IF(M143="","No Campaign",
   IF(AND(C143&gt;=VLOOKUP(M143,Cleaned_Campaign_Data!B:D,2,FALSE),
          C143&lt;=VLOOKUP(M143,Cleaned_Campaign_Data!B:D,3,FALSE)),
      "During","Before"))</f>
        <v>During</v>
      </c>
    </row>
    <row r="144" spans="1:14" x14ac:dyDescent="0.3">
      <c r="A144" t="s">
        <v>238</v>
      </c>
      <c r="B144" t="s">
        <v>31</v>
      </c>
      <c r="C144" s="3">
        <v>45567</v>
      </c>
      <c r="D144" t="s">
        <v>73</v>
      </c>
      <c r="E144" t="s">
        <v>89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66</v>
      </c>
      <c r="M144" t="s">
        <v>15</v>
      </c>
      <c r="N144" t="str">
        <f>IF(M144="","No Campaign",
   IF(AND(C144&gt;=VLOOKUP(M144,Cleaned_Campaign_Data!B:D,2,FALSE),
          C144&lt;=VLOOKUP(M144,Cleaned_Campaign_Data!B:D,3,FALSE)),
      "During","Before"))</f>
        <v>Before</v>
      </c>
    </row>
    <row r="145" spans="1:14" x14ac:dyDescent="0.3">
      <c r="A145" t="s">
        <v>239</v>
      </c>
      <c r="B145" t="s">
        <v>31</v>
      </c>
      <c r="C145" s="3">
        <v>45593</v>
      </c>
      <c r="D145" t="s">
        <v>68</v>
      </c>
      <c r="E145" t="s">
        <v>139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70</v>
      </c>
      <c r="M145" t="s">
        <v>19</v>
      </c>
      <c r="N145" t="str">
        <f>IF(M145="","No Campaign",
   IF(AND(C145&gt;=VLOOKUP(M145,Cleaned_Campaign_Data!B:D,2,FALSE),
          C145&lt;=VLOOKUP(M145,Cleaned_Campaign_Data!B:D,3,FALSE)),
      "During","Before"))</f>
        <v>Before</v>
      </c>
    </row>
    <row r="146" spans="1:14" x14ac:dyDescent="0.3">
      <c r="A146" t="s">
        <v>240</v>
      </c>
      <c r="B146" t="s">
        <v>29</v>
      </c>
      <c r="C146" s="3">
        <v>45516</v>
      </c>
      <c r="D146" t="s">
        <v>73</v>
      </c>
      <c r="E146" t="s">
        <v>102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66</v>
      </c>
      <c r="M146" t="s">
        <v>19</v>
      </c>
      <c r="N146" t="str">
        <f>IF(M146="","No Campaign",
   IF(AND(C146&gt;=VLOOKUP(M146,Cleaned_Campaign_Data!B:D,2,FALSE),
          C146&lt;=VLOOKUP(M146,Cleaned_Campaign_Data!B:D,3,FALSE)),
      "During","Before"))</f>
        <v>Before</v>
      </c>
    </row>
    <row r="147" spans="1:14" x14ac:dyDescent="0.3">
      <c r="A147" t="s">
        <v>241</v>
      </c>
      <c r="B147" t="s">
        <v>31</v>
      </c>
      <c r="C147" s="3">
        <v>45448</v>
      </c>
      <c r="D147" t="s">
        <v>57</v>
      </c>
      <c r="E147" t="s">
        <v>65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242</v>
      </c>
      <c r="N147" t="str">
        <f>IF(M147="","No Campaign",
   IF(AND(C147&gt;=VLOOKUP(M147,Cleaned_Campaign_Data!B:D,2,FALSE),
          C147&lt;=VLOOKUP(M147,Cleaned_Campaign_Data!B:D,3,FALSE)),
      "During","Before"))</f>
        <v>No Campaign</v>
      </c>
    </row>
    <row r="148" spans="1:14" x14ac:dyDescent="0.3">
      <c r="A148" t="s">
        <v>243</v>
      </c>
      <c r="B148" t="s">
        <v>29</v>
      </c>
      <c r="C148" s="3">
        <v>45586</v>
      </c>
      <c r="D148" t="s">
        <v>57</v>
      </c>
      <c r="E148" t="s">
        <v>98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66</v>
      </c>
      <c r="M148" t="s">
        <v>11</v>
      </c>
      <c r="N148" t="str">
        <f>IF(M148="","No Campaign",
   IF(AND(C148&gt;=VLOOKUP(M148,Cleaned_Campaign_Data!B:D,2,FALSE),
          C148&lt;=VLOOKUP(M148,Cleaned_Campaign_Data!B:D,3,FALSE)),
      "During","Before"))</f>
        <v>During</v>
      </c>
    </row>
    <row r="149" spans="1:14" x14ac:dyDescent="0.3">
      <c r="A149" t="s">
        <v>244</v>
      </c>
      <c r="B149" t="s">
        <v>29</v>
      </c>
      <c r="C149" s="3">
        <v>45762</v>
      </c>
      <c r="D149" t="s">
        <v>93</v>
      </c>
      <c r="E149" t="s">
        <v>100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70</v>
      </c>
      <c r="M149" t="s">
        <v>19</v>
      </c>
      <c r="N149" t="str">
        <f>IF(M149="","No Campaign",
   IF(AND(C149&gt;=VLOOKUP(M149,Cleaned_Campaign_Data!B:D,2,FALSE),
          C149&lt;=VLOOKUP(M149,Cleaned_Campaign_Data!B:D,3,FALSE)),
      "During","Before"))</f>
        <v>Before</v>
      </c>
    </row>
    <row r="150" spans="1:14" x14ac:dyDescent="0.3">
      <c r="A150" t="s">
        <v>245</v>
      </c>
      <c r="B150" t="s">
        <v>32</v>
      </c>
      <c r="C150" s="3">
        <v>45459</v>
      </c>
      <c r="D150" t="s">
        <v>93</v>
      </c>
      <c r="E150" t="s">
        <v>133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70</v>
      </c>
      <c r="M150" t="s">
        <v>7</v>
      </c>
      <c r="N150" t="str">
        <f>IF(M150="","No Campaign",
   IF(AND(C150&gt;=VLOOKUP(M150,Cleaned_Campaign_Data!B:D,2,FALSE),
          C150&lt;=VLOOKUP(M150,Cleaned_Campaign_Data!B:D,3,FALSE)),
      "During","Before"))</f>
        <v>During</v>
      </c>
    </row>
    <row r="151" spans="1:14" x14ac:dyDescent="0.3">
      <c r="A151" t="s">
        <v>246</v>
      </c>
      <c r="B151" t="s">
        <v>31</v>
      </c>
      <c r="C151" s="3">
        <v>45526</v>
      </c>
      <c r="D151" t="s">
        <v>73</v>
      </c>
      <c r="E151" t="s">
        <v>89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66</v>
      </c>
      <c r="M151" t="s">
        <v>19</v>
      </c>
      <c r="N151" t="str">
        <f>IF(M151="","No Campaign",
   IF(AND(C151&gt;=VLOOKUP(M151,Cleaned_Campaign_Data!B:D,2,FALSE),
          C151&lt;=VLOOKUP(M151,Cleaned_Campaign_Data!B:D,3,FALSE)),
      "During","Before"))</f>
        <v>Before</v>
      </c>
    </row>
    <row r="152" spans="1:14" x14ac:dyDescent="0.3">
      <c r="A152" t="s">
        <v>247</v>
      </c>
      <c r="B152" t="s">
        <v>29</v>
      </c>
      <c r="C152" s="3">
        <v>45499</v>
      </c>
      <c r="D152" t="s">
        <v>78</v>
      </c>
      <c r="E152" t="s">
        <v>174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70</v>
      </c>
      <c r="M152" t="s">
        <v>7</v>
      </c>
      <c r="N152" t="str">
        <f>IF(M152="","No Campaign",
   IF(AND(C152&gt;=VLOOKUP(M152,Cleaned_Campaign_Data!B:D,2,FALSE),
          C152&lt;=VLOOKUP(M152,Cleaned_Campaign_Data!B:D,3,FALSE)),
      "During","Before"))</f>
        <v>Before</v>
      </c>
    </row>
    <row r="153" spans="1:14" x14ac:dyDescent="0.3">
      <c r="A153" t="s">
        <v>248</v>
      </c>
      <c r="B153" t="s">
        <v>30</v>
      </c>
      <c r="C153" s="3">
        <v>45769</v>
      </c>
      <c r="D153" t="s">
        <v>78</v>
      </c>
      <c r="E153" t="s">
        <v>83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70</v>
      </c>
      <c r="M153" t="s">
        <v>19</v>
      </c>
      <c r="N153" t="str">
        <f>IF(M153="","No Campaign",
   IF(AND(C153&gt;=VLOOKUP(M153,Cleaned_Campaign_Data!B:D,2,FALSE),
          C153&lt;=VLOOKUP(M153,Cleaned_Campaign_Data!B:D,3,FALSE)),
      "During","Before"))</f>
        <v>Before</v>
      </c>
    </row>
    <row r="154" spans="1:14" x14ac:dyDescent="0.3">
      <c r="A154" t="s">
        <v>249</v>
      </c>
      <c r="B154" t="s">
        <v>32</v>
      </c>
      <c r="C154" s="3">
        <v>45658</v>
      </c>
      <c r="D154" t="s">
        <v>93</v>
      </c>
      <c r="E154" t="s">
        <v>133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66</v>
      </c>
      <c r="M154" t="s">
        <v>15</v>
      </c>
      <c r="N154" t="str">
        <f>IF(M154="","No Campaign",
   IF(AND(C154&gt;=VLOOKUP(M154,Cleaned_Campaign_Data!B:D,2,FALSE),
          C154&lt;=VLOOKUP(M154,Cleaned_Campaign_Data!B:D,3,FALSE)),
      "During","Before"))</f>
        <v>During</v>
      </c>
    </row>
    <row r="155" spans="1:14" x14ac:dyDescent="0.3">
      <c r="A155" t="s">
        <v>250</v>
      </c>
      <c r="B155" t="s">
        <v>29</v>
      </c>
      <c r="C155" s="3">
        <v>45574</v>
      </c>
      <c r="D155" t="s">
        <v>73</v>
      </c>
      <c r="E155" t="s">
        <v>102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85</v>
      </c>
      <c r="M155" t="s">
        <v>19</v>
      </c>
      <c r="N155" t="str">
        <f>IF(M155="","No Campaign",
   IF(AND(C155&gt;=VLOOKUP(M155,Cleaned_Campaign_Data!B:D,2,FALSE),
          C155&lt;=VLOOKUP(M155,Cleaned_Campaign_Data!B:D,3,FALSE)),
      "During","Before"))</f>
        <v>Before</v>
      </c>
    </row>
    <row r="156" spans="1:14" x14ac:dyDescent="0.3">
      <c r="A156" t="s">
        <v>251</v>
      </c>
      <c r="B156" t="s">
        <v>31</v>
      </c>
      <c r="C156" s="3">
        <v>45647</v>
      </c>
      <c r="D156" t="s">
        <v>78</v>
      </c>
      <c r="E156" t="s">
        <v>79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85</v>
      </c>
      <c r="M156" t="s">
        <v>11</v>
      </c>
      <c r="N156" t="str">
        <f>IF(M156="","No Campaign",
   IF(AND(C156&gt;=VLOOKUP(M156,Cleaned_Campaign_Data!B:D,2,FALSE),
          C156&lt;=VLOOKUP(M156,Cleaned_Campaign_Data!B:D,3,FALSE)),
      "During","Before"))</f>
        <v>Before</v>
      </c>
    </row>
    <row r="157" spans="1:14" x14ac:dyDescent="0.3">
      <c r="A157" t="s">
        <v>252</v>
      </c>
      <c r="B157" t="s">
        <v>30</v>
      </c>
      <c r="C157" s="3">
        <v>45587</v>
      </c>
      <c r="D157" t="s">
        <v>73</v>
      </c>
      <c r="E157" t="s">
        <v>74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85</v>
      </c>
      <c r="M157" t="s">
        <v>11</v>
      </c>
      <c r="N157" t="str">
        <f>IF(M157="","No Campaign",
   IF(AND(C157&gt;=VLOOKUP(M157,Cleaned_Campaign_Data!B:D,2,FALSE),
          C157&lt;=VLOOKUP(M157,Cleaned_Campaign_Data!B:D,3,FALSE)),
      "During","Before"))</f>
        <v>During</v>
      </c>
    </row>
    <row r="158" spans="1:14" x14ac:dyDescent="0.3">
      <c r="A158" t="s">
        <v>253</v>
      </c>
      <c r="B158" t="s">
        <v>31</v>
      </c>
      <c r="C158" s="3">
        <v>45496</v>
      </c>
      <c r="D158" t="s">
        <v>68</v>
      </c>
      <c r="E158" t="s">
        <v>139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85</v>
      </c>
      <c r="M158" t="s">
        <v>11</v>
      </c>
      <c r="N158" t="str">
        <f>IF(M158="","No Campaign",
   IF(AND(C158&gt;=VLOOKUP(M158,Cleaned_Campaign_Data!B:D,2,FALSE),
          C158&lt;=VLOOKUP(M158,Cleaned_Campaign_Data!B:D,3,FALSE)),
      "During","Before"))</f>
        <v>Before</v>
      </c>
    </row>
    <row r="159" spans="1:14" x14ac:dyDescent="0.3">
      <c r="A159" t="s">
        <v>254</v>
      </c>
      <c r="B159" t="s">
        <v>29</v>
      </c>
      <c r="C159" s="3">
        <v>45515</v>
      </c>
      <c r="D159" t="s">
        <v>68</v>
      </c>
      <c r="E159" t="s">
        <v>69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66</v>
      </c>
      <c r="M159" t="s">
        <v>7</v>
      </c>
      <c r="N159" t="str">
        <f>IF(M159="","No Campaign",
   IF(AND(C159&gt;=VLOOKUP(M159,Cleaned_Campaign_Data!B:D,2,FALSE),
          C159&lt;=VLOOKUP(M159,Cleaned_Campaign_Data!B:D,3,FALSE)),
      "During","Before"))</f>
        <v>Before</v>
      </c>
    </row>
    <row r="160" spans="1:14" x14ac:dyDescent="0.3">
      <c r="A160" t="s">
        <v>255</v>
      </c>
      <c r="B160" t="s">
        <v>30</v>
      </c>
      <c r="C160" s="3">
        <v>45621</v>
      </c>
      <c r="D160" t="s">
        <v>68</v>
      </c>
      <c r="E160" t="s">
        <v>91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85</v>
      </c>
      <c r="M160" t="s">
        <v>11</v>
      </c>
      <c r="N160" t="str">
        <f>IF(M160="","No Campaign",
   IF(AND(C160&gt;=VLOOKUP(M160,Cleaned_Campaign_Data!B:D,2,FALSE),
          C160&lt;=VLOOKUP(M160,Cleaned_Campaign_Data!B:D,3,FALSE)),
      "During","Before"))</f>
        <v>Before</v>
      </c>
    </row>
    <row r="161" spans="1:14" x14ac:dyDescent="0.3">
      <c r="A161" t="s">
        <v>256</v>
      </c>
      <c r="B161" t="s">
        <v>32</v>
      </c>
      <c r="C161" s="3">
        <v>45528</v>
      </c>
      <c r="D161" t="s">
        <v>93</v>
      </c>
      <c r="E161" t="s">
        <v>133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66</v>
      </c>
      <c r="N161" t="str">
        <f>IF(M161="","No Campaign",
   IF(AND(C161&gt;=VLOOKUP(M161,Cleaned_Campaign_Data!B:D,2,FALSE),
          C161&lt;=VLOOKUP(M161,Cleaned_Campaign_Data!B:D,3,FALSE)),
      "During","Before"))</f>
        <v>No Campaign</v>
      </c>
    </row>
    <row r="162" spans="1:14" x14ac:dyDescent="0.3">
      <c r="A162" t="s">
        <v>257</v>
      </c>
      <c r="B162" t="s">
        <v>32</v>
      </c>
      <c r="C162" s="3">
        <v>45707</v>
      </c>
      <c r="D162" t="s">
        <v>61</v>
      </c>
      <c r="E162" t="s">
        <v>62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66</v>
      </c>
      <c r="M162" t="s">
        <v>19</v>
      </c>
      <c r="N162" t="str">
        <f>IF(M162="","No Campaign",
   IF(AND(C162&gt;=VLOOKUP(M162,Cleaned_Campaign_Data!B:D,2,FALSE),
          C162&lt;=VLOOKUP(M162,Cleaned_Campaign_Data!B:D,3,FALSE)),
      "During","Before"))</f>
        <v>Before</v>
      </c>
    </row>
    <row r="163" spans="1:14" x14ac:dyDescent="0.3">
      <c r="A163" t="s">
        <v>258</v>
      </c>
      <c r="B163" t="s">
        <v>30</v>
      </c>
      <c r="C163" s="3">
        <v>45748</v>
      </c>
      <c r="D163" t="s">
        <v>68</v>
      </c>
      <c r="E163" t="s">
        <v>91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85</v>
      </c>
      <c r="N163" t="str">
        <f>IF(M163="","No Campaign",
   IF(AND(C163&gt;=VLOOKUP(M163,Cleaned_Campaign_Data!B:D,2,FALSE),
          C163&lt;=VLOOKUP(M163,Cleaned_Campaign_Data!B:D,3,FALSE)),
      "During","Before"))</f>
        <v>No Campaign</v>
      </c>
    </row>
    <row r="164" spans="1:14" x14ac:dyDescent="0.3">
      <c r="A164" t="s">
        <v>259</v>
      </c>
      <c r="B164" t="s">
        <v>29</v>
      </c>
      <c r="C164" s="3">
        <v>45755</v>
      </c>
      <c r="D164" t="s">
        <v>78</v>
      </c>
      <c r="E164" t="s">
        <v>174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66</v>
      </c>
      <c r="M164" t="s">
        <v>11</v>
      </c>
      <c r="N164" t="str">
        <f>IF(M164="","No Campaign",
   IF(AND(C164&gt;=VLOOKUP(M164,Cleaned_Campaign_Data!B:D,2,FALSE),
          C164&lt;=VLOOKUP(M164,Cleaned_Campaign_Data!B:D,3,FALSE)),
      "During","Before"))</f>
        <v>Before</v>
      </c>
    </row>
    <row r="165" spans="1:14" x14ac:dyDescent="0.3">
      <c r="A165" t="s">
        <v>260</v>
      </c>
      <c r="B165" t="s">
        <v>31</v>
      </c>
      <c r="C165" s="3">
        <v>45715</v>
      </c>
      <c r="D165" t="s">
        <v>61</v>
      </c>
      <c r="E165" t="s">
        <v>111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106</v>
      </c>
      <c r="M165" t="s">
        <v>19</v>
      </c>
      <c r="N165" t="str">
        <f>IF(M165="","No Campaign",
   IF(AND(C165&gt;=VLOOKUP(M165,Cleaned_Campaign_Data!B:D,2,FALSE),
          C165&lt;=VLOOKUP(M165,Cleaned_Campaign_Data!B:D,3,FALSE)),
      "During","Before"))</f>
        <v>Before</v>
      </c>
    </row>
    <row r="166" spans="1:14" x14ac:dyDescent="0.3">
      <c r="A166" t="s">
        <v>261</v>
      </c>
      <c r="B166" t="s">
        <v>32</v>
      </c>
      <c r="C166" s="3">
        <v>45637</v>
      </c>
      <c r="D166" t="s">
        <v>61</v>
      </c>
      <c r="E166" t="s">
        <v>62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66</v>
      </c>
      <c r="M166" t="s">
        <v>11</v>
      </c>
      <c r="N166" t="str">
        <f>IF(M166="","No Campaign",
   IF(AND(C166&gt;=VLOOKUP(M166,Cleaned_Campaign_Data!B:D,2,FALSE),
          C166&lt;=VLOOKUP(M166,Cleaned_Campaign_Data!B:D,3,FALSE)),
      "During","Before"))</f>
        <v>Before</v>
      </c>
    </row>
    <row r="167" spans="1:14" x14ac:dyDescent="0.3">
      <c r="A167" t="s">
        <v>262</v>
      </c>
      <c r="B167" t="s">
        <v>32</v>
      </c>
      <c r="C167" s="3">
        <v>45704</v>
      </c>
      <c r="D167" t="s">
        <v>57</v>
      </c>
      <c r="E167" t="s">
        <v>58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85</v>
      </c>
      <c r="M167" t="s">
        <v>7</v>
      </c>
      <c r="N167" t="str">
        <f>IF(M167="","No Campaign",
   IF(AND(C167&gt;=VLOOKUP(M167,Cleaned_Campaign_Data!B:D,2,FALSE),
          C167&lt;=VLOOKUP(M167,Cleaned_Campaign_Data!B:D,3,FALSE)),
      "During","Before"))</f>
        <v>Before</v>
      </c>
    </row>
    <row r="168" spans="1:14" x14ac:dyDescent="0.3">
      <c r="A168" t="s">
        <v>263</v>
      </c>
      <c r="B168" t="s">
        <v>29</v>
      </c>
      <c r="C168" s="3">
        <v>45624</v>
      </c>
      <c r="D168" t="s">
        <v>61</v>
      </c>
      <c r="E168" t="s">
        <v>116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85</v>
      </c>
      <c r="N168" t="str">
        <f>IF(M168="","No Campaign",
   IF(AND(C168&gt;=VLOOKUP(M168,Cleaned_Campaign_Data!B:D,2,FALSE),
          C168&lt;=VLOOKUP(M168,Cleaned_Campaign_Data!B:D,3,FALSE)),
      "During","Before"))</f>
        <v>No Campaign</v>
      </c>
    </row>
    <row r="169" spans="1:14" x14ac:dyDescent="0.3">
      <c r="A169" t="s">
        <v>264</v>
      </c>
      <c r="B169" t="s">
        <v>30</v>
      </c>
      <c r="C169" s="3">
        <v>45608</v>
      </c>
      <c r="D169" t="s">
        <v>61</v>
      </c>
      <c r="E169" t="s">
        <v>81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70</v>
      </c>
      <c r="M169" t="s">
        <v>7</v>
      </c>
      <c r="N169" t="str">
        <f>IF(M169="","No Campaign",
   IF(AND(C169&gt;=VLOOKUP(M169,Cleaned_Campaign_Data!B:D,2,FALSE),
          C169&lt;=VLOOKUP(M169,Cleaned_Campaign_Data!B:D,3,FALSE)),
      "During","Before"))</f>
        <v>Before</v>
      </c>
    </row>
    <row r="170" spans="1:14" x14ac:dyDescent="0.3">
      <c r="A170" t="s">
        <v>265</v>
      </c>
      <c r="B170" t="s">
        <v>31</v>
      </c>
      <c r="C170" s="3">
        <v>45629</v>
      </c>
      <c r="D170" t="s">
        <v>93</v>
      </c>
      <c r="E170" t="s">
        <v>177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70</v>
      </c>
      <c r="M170" t="s">
        <v>7</v>
      </c>
      <c r="N170" t="str">
        <f>IF(M170="","No Campaign",
   IF(AND(C170&gt;=VLOOKUP(M170,Cleaned_Campaign_Data!B:D,2,FALSE),
          C170&lt;=VLOOKUP(M170,Cleaned_Campaign_Data!B:D,3,FALSE)),
      "During","Before"))</f>
        <v>Before</v>
      </c>
    </row>
    <row r="171" spans="1:14" x14ac:dyDescent="0.3">
      <c r="A171" t="s">
        <v>266</v>
      </c>
      <c r="B171" t="s">
        <v>32</v>
      </c>
      <c r="C171" s="3">
        <v>45775</v>
      </c>
      <c r="D171" t="s">
        <v>61</v>
      </c>
      <c r="E171" t="s">
        <v>62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66</v>
      </c>
      <c r="M171" t="s">
        <v>15</v>
      </c>
      <c r="N171" t="str">
        <f>IF(M171="","No Campaign",
   IF(AND(C171&gt;=VLOOKUP(M171,Cleaned_Campaign_Data!B:D,2,FALSE),
          C171&lt;=VLOOKUP(M171,Cleaned_Campaign_Data!B:D,3,FALSE)),
      "During","Before"))</f>
        <v>Before</v>
      </c>
    </row>
    <row r="172" spans="1:14" x14ac:dyDescent="0.3">
      <c r="A172" t="s">
        <v>267</v>
      </c>
      <c r="B172" t="s">
        <v>31</v>
      </c>
      <c r="C172" s="3">
        <v>45657</v>
      </c>
      <c r="D172" t="s">
        <v>93</v>
      </c>
      <c r="E172" t="s">
        <v>177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85</v>
      </c>
      <c r="M172" t="s">
        <v>11</v>
      </c>
      <c r="N172" t="str">
        <f>IF(M172="","No Campaign",
   IF(AND(C172&gt;=VLOOKUP(M172,Cleaned_Campaign_Data!B:D,2,FALSE),
          C172&lt;=VLOOKUP(M172,Cleaned_Campaign_Data!B:D,3,FALSE)),
      "During","Before"))</f>
        <v>Before</v>
      </c>
    </row>
    <row r="173" spans="1:14" x14ac:dyDescent="0.3">
      <c r="A173" t="s">
        <v>268</v>
      </c>
      <c r="B173" t="s">
        <v>30</v>
      </c>
      <c r="C173" s="3">
        <v>45518</v>
      </c>
      <c r="D173" t="s">
        <v>73</v>
      </c>
      <c r="E173" t="s">
        <v>74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70</v>
      </c>
      <c r="M173" t="s">
        <v>15</v>
      </c>
      <c r="N173" t="str">
        <f>IF(M173="","No Campaign",
   IF(AND(C173&gt;=VLOOKUP(M173,Cleaned_Campaign_Data!B:D,2,FALSE),
          C173&lt;=VLOOKUP(M173,Cleaned_Campaign_Data!B:D,3,FALSE)),
      "During","Before"))</f>
        <v>Before</v>
      </c>
    </row>
    <row r="174" spans="1:14" x14ac:dyDescent="0.3">
      <c r="A174" t="s">
        <v>269</v>
      </c>
      <c r="B174" t="s">
        <v>32</v>
      </c>
      <c r="C174" s="3">
        <v>45631</v>
      </c>
      <c r="D174" t="s">
        <v>93</v>
      </c>
      <c r="E174" t="s">
        <v>133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85</v>
      </c>
      <c r="M174" t="s">
        <v>15</v>
      </c>
      <c r="N174" t="str">
        <f>IF(M174="","No Campaign",
   IF(AND(C174&gt;=VLOOKUP(M174,Cleaned_Campaign_Data!B:D,2,FALSE),
          C174&lt;=VLOOKUP(M174,Cleaned_Campaign_Data!B:D,3,FALSE)),
      "During","Before"))</f>
        <v>Before</v>
      </c>
    </row>
    <row r="175" spans="1:14" x14ac:dyDescent="0.3">
      <c r="A175" t="s">
        <v>270</v>
      </c>
      <c r="B175" t="s">
        <v>30</v>
      </c>
      <c r="C175" s="3">
        <v>45465</v>
      </c>
      <c r="D175" t="s">
        <v>61</v>
      </c>
      <c r="E175" t="s">
        <v>81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70</v>
      </c>
      <c r="N175" t="str">
        <f>IF(M175="","No Campaign",
   IF(AND(C175&gt;=VLOOKUP(M175,Cleaned_Campaign_Data!B:D,2,FALSE),
          C175&lt;=VLOOKUP(M175,Cleaned_Campaign_Data!B:D,3,FALSE)),
      "During","Before"))</f>
        <v>No Campaign</v>
      </c>
    </row>
    <row r="176" spans="1:14" x14ac:dyDescent="0.3">
      <c r="A176" t="s">
        <v>271</v>
      </c>
      <c r="B176" t="s">
        <v>29</v>
      </c>
      <c r="C176" s="3">
        <v>45674</v>
      </c>
      <c r="D176" t="s">
        <v>57</v>
      </c>
      <c r="E176" t="s">
        <v>98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85</v>
      </c>
      <c r="M176" t="s">
        <v>19</v>
      </c>
      <c r="N176" t="str">
        <f>IF(M176="","No Campaign",
   IF(AND(C176&gt;=VLOOKUP(M176,Cleaned_Campaign_Data!B:D,2,FALSE),
          C176&lt;=VLOOKUP(M176,Cleaned_Campaign_Data!B:D,3,FALSE)),
      "During","Before"))</f>
        <v>Before</v>
      </c>
    </row>
    <row r="177" spans="1:14" x14ac:dyDescent="0.3">
      <c r="A177" t="s">
        <v>272</v>
      </c>
      <c r="B177" t="s">
        <v>30</v>
      </c>
      <c r="C177" s="3">
        <v>45463</v>
      </c>
      <c r="D177" t="s">
        <v>93</v>
      </c>
      <c r="E177" t="s">
        <v>94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66</v>
      </c>
      <c r="M177" t="s">
        <v>7</v>
      </c>
      <c r="N177" t="str">
        <f>IF(M177="","No Campaign",
   IF(AND(C177&gt;=VLOOKUP(M177,Cleaned_Campaign_Data!B:D,2,FALSE),
          C177&lt;=VLOOKUP(M177,Cleaned_Campaign_Data!B:D,3,FALSE)),
      "During","Before"))</f>
        <v>During</v>
      </c>
    </row>
    <row r="178" spans="1:14" x14ac:dyDescent="0.3">
      <c r="A178" t="s">
        <v>273</v>
      </c>
      <c r="B178" t="s">
        <v>29</v>
      </c>
      <c r="C178" s="3">
        <v>45483</v>
      </c>
      <c r="D178" t="s">
        <v>73</v>
      </c>
      <c r="E178" t="s">
        <v>102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66</v>
      </c>
      <c r="M178" t="s">
        <v>15</v>
      </c>
      <c r="N178" t="str">
        <f>IF(M178="","No Campaign",
   IF(AND(C178&gt;=VLOOKUP(M178,Cleaned_Campaign_Data!B:D,2,FALSE),
          C178&lt;=VLOOKUP(M178,Cleaned_Campaign_Data!B:D,3,FALSE)),
      "During","Before"))</f>
        <v>Before</v>
      </c>
    </row>
    <row r="179" spans="1:14" x14ac:dyDescent="0.3">
      <c r="A179" t="s">
        <v>274</v>
      </c>
      <c r="B179" t="s">
        <v>29</v>
      </c>
      <c r="C179" s="3">
        <v>45603</v>
      </c>
      <c r="D179" t="s">
        <v>93</v>
      </c>
      <c r="E179" t="s">
        <v>100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66</v>
      </c>
      <c r="M179" t="s">
        <v>19</v>
      </c>
      <c r="N179" t="str">
        <f>IF(M179="","No Campaign",
   IF(AND(C179&gt;=VLOOKUP(M179,Cleaned_Campaign_Data!B:D,2,FALSE),
          C179&lt;=VLOOKUP(M179,Cleaned_Campaign_Data!B:D,3,FALSE)),
      "During","Before"))</f>
        <v>Before</v>
      </c>
    </row>
    <row r="180" spans="1:14" x14ac:dyDescent="0.3">
      <c r="A180" t="s">
        <v>275</v>
      </c>
      <c r="B180" t="s">
        <v>30</v>
      </c>
      <c r="C180" s="3">
        <v>45488</v>
      </c>
      <c r="D180" t="s">
        <v>73</v>
      </c>
      <c r="E180" t="s">
        <v>74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66</v>
      </c>
      <c r="N180" t="str">
        <f>IF(M180="","No Campaign",
   IF(AND(C180&gt;=VLOOKUP(M180,Cleaned_Campaign_Data!B:D,2,FALSE),
          C180&lt;=VLOOKUP(M180,Cleaned_Campaign_Data!B:D,3,FALSE)),
      "During","Before"))</f>
        <v>No Campaign</v>
      </c>
    </row>
    <row r="181" spans="1:14" x14ac:dyDescent="0.3">
      <c r="A181" t="s">
        <v>276</v>
      </c>
      <c r="B181" t="s">
        <v>31</v>
      </c>
      <c r="C181" s="3">
        <v>45629</v>
      </c>
      <c r="D181" t="s">
        <v>61</v>
      </c>
      <c r="E181" t="s">
        <v>111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66</v>
      </c>
      <c r="M181" t="s">
        <v>7</v>
      </c>
      <c r="N181" t="str">
        <f>IF(M181="","No Campaign",
   IF(AND(C181&gt;=VLOOKUP(M181,Cleaned_Campaign_Data!B:D,2,FALSE),
          C181&lt;=VLOOKUP(M181,Cleaned_Campaign_Data!B:D,3,FALSE)),
      "During","Before"))</f>
        <v>Before</v>
      </c>
    </row>
    <row r="182" spans="1:14" x14ac:dyDescent="0.3">
      <c r="A182" t="s">
        <v>277</v>
      </c>
      <c r="B182" t="s">
        <v>31</v>
      </c>
      <c r="C182" s="3">
        <v>45737</v>
      </c>
      <c r="D182" t="s">
        <v>78</v>
      </c>
      <c r="E182" t="s">
        <v>79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70</v>
      </c>
      <c r="M182" t="s">
        <v>15</v>
      </c>
      <c r="N182" t="str">
        <f>IF(M182="","No Campaign",
   IF(AND(C182&gt;=VLOOKUP(M182,Cleaned_Campaign_Data!B:D,2,FALSE),
          C182&lt;=VLOOKUP(M182,Cleaned_Campaign_Data!B:D,3,FALSE)),
      "During","Before"))</f>
        <v>Before</v>
      </c>
    </row>
    <row r="183" spans="1:14" x14ac:dyDescent="0.3">
      <c r="A183" t="s">
        <v>278</v>
      </c>
      <c r="B183" t="s">
        <v>30</v>
      </c>
      <c r="C183" s="3">
        <v>45504</v>
      </c>
      <c r="D183" t="s">
        <v>78</v>
      </c>
      <c r="E183" t="s">
        <v>83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66</v>
      </c>
      <c r="M183" t="s">
        <v>19</v>
      </c>
      <c r="N183" t="str">
        <f>IF(M183="","No Campaign",
   IF(AND(C183&gt;=VLOOKUP(M183,Cleaned_Campaign_Data!B:D,2,FALSE),
          C183&lt;=VLOOKUP(M183,Cleaned_Campaign_Data!B:D,3,FALSE)),
      "During","Before"))</f>
        <v>Before</v>
      </c>
    </row>
    <row r="184" spans="1:14" x14ac:dyDescent="0.3">
      <c r="A184" t="s">
        <v>279</v>
      </c>
      <c r="B184" t="s">
        <v>29</v>
      </c>
      <c r="C184" s="3">
        <v>45643</v>
      </c>
      <c r="D184" t="s">
        <v>68</v>
      </c>
      <c r="E184" t="s">
        <v>69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85</v>
      </c>
      <c r="M184" t="s">
        <v>11</v>
      </c>
      <c r="N184" t="str">
        <f>IF(M184="","No Campaign",
   IF(AND(C184&gt;=VLOOKUP(M184,Cleaned_Campaign_Data!B:D,2,FALSE),
          C184&lt;=VLOOKUP(M184,Cleaned_Campaign_Data!B:D,3,FALSE)),
      "During","Before"))</f>
        <v>Before</v>
      </c>
    </row>
    <row r="185" spans="1:14" x14ac:dyDescent="0.3">
      <c r="A185" t="s">
        <v>280</v>
      </c>
      <c r="B185" t="s">
        <v>32</v>
      </c>
      <c r="C185" s="3">
        <v>45501</v>
      </c>
      <c r="D185" t="s">
        <v>78</v>
      </c>
      <c r="E185" t="s">
        <v>126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70</v>
      </c>
      <c r="M185" t="s">
        <v>7</v>
      </c>
      <c r="N185" t="str">
        <f>IF(M185="","No Campaign",
   IF(AND(C185&gt;=VLOOKUP(M185,Cleaned_Campaign_Data!B:D,2,FALSE),
          C185&lt;=VLOOKUP(M185,Cleaned_Campaign_Data!B:D,3,FALSE)),
      "During","Before"))</f>
        <v>Before</v>
      </c>
    </row>
    <row r="186" spans="1:14" x14ac:dyDescent="0.3">
      <c r="A186" t="s">
        <v>281</v>
      </c>
      <c r="B186" t="s">
        <v>29</v>
      </c>
      <c r="C186" s="3">
        <v>45668</v>
      </c>
      <c r="D186" t="s">
        <v>73</v>
      </c>
      <c r="E186" t="s">
        <v>102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70</v>
      </c>
      <c r="N186" t="str">
        <f>IF(M186="","No Campaign",
   IF(AND(C186&gt;=VLOOKUP(M186,Cleaned_Campaign_Data!B:D,2,FALSE),
          C186&lt;=VLOOKUP(M186,Cleaned_Campaign_Data!B:D,3,FALSE)),
      "During","Before"))</f>
        <v>No Campaign</v>
      </c>
    </row>
    <row r="187" spans="1:14" x14ac:dyDescent="0.3">
      <c r="A187" t="s">
        <v>282</v>
      </c>
      <c r="B187" t="s">
        <v>30</v>
      </c>
      <c r="C187" s="3">
        <v>45528</v>
      </c>
      <c r="D187" t="s">
        <v>73</v>
      </c>
      <c r="E187" t="s">
        <v>74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70</v>
      </c>
      <c r="M187" t="s">
        <v>15</v>
      </c>
      <c r="N187" t="str">
        <f>IF(M187="","No Campaign",
   IF(AND(C187&gt;=VLOOKUP(M187,Cleaned_Campaign_Data!B:D,2,FALSE),
          C187&lt;=VLOOKUP(M187,Cleaned_Campaign_Data!B:D,3,FALSE)),
      "During","Before"))</f>
        <v>Before</v>
      </c>
    </row>
    <row r="188" spans="1:14" x14ac:dyDescent="0.3">
      <c r="A188" t="s">
        <v>283</v>
      </c>
      <c r="B188" t="s">
        <v>32</v>
      </c>
      <c r="C188" s="3">
        <v>45648</v>
      </c>
      <c r="D188" t="s">
        <v>57</v>
      </c>
      <c r="E188" t="s">
        <v>58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70</v>
      </c>
      <c r="M188" t="s">
        <v>15</v>
      </c>
      <c r="N188" t="str">
        <f>IF(M188="","No Campaign",
   IF(AND(C188&gt;=VLOOKUP(M188,Cleaned_Campaign_Data!B:D,2,FALSE),
          C188&lt;=VLOOKUP(M188,Cleaned_Campaign_Data!B:D,3,FALSE)),
      "During","Before"))</f>
        <v>Before</v>
      </c>
    </row>
    <row r="189" spans="1:14" x14ac:dyDescent="0.3">
      <c r="A189" t="s">
        <v>284</v>
      </c>
      <c r="B189" t="s">
        <v>31</v>
      </c>
      <c r="C189" s="3">
        <v>45449</v>
      </c>
      <c r="D189" t="s">
        <v>57</v>
      </c>
      <c r="E189" t="s">
        <v>65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85</v>
      </c>
      <c r="M189" t="s">
        <v>11</v>
      </c>
      <c r="N189" t="str">
        <f>IF(M189="","No Campaign",
   IF(AND(C189&gt;=VLOOKUP(M189,Cleaned_Campaign_Data!B:D,2,FALSE),
          C189&lt;=VLOOKUP(M189,Cleaned_Campaign_Data!B:D,3,FALSE)),
      "During","Before"))</f>
        <v>Before</v>
      </c>
    </row>
    <row r="190" spans="1:14" x14ac:dyDescent="0.3">
      <c r="A190" t="s">
        <v>285</v>
      </c>
      <c r="B190" t="s">
        <v>30</v>
      </c>
      <c r="C190" s="3">
        <v>45740</v>
      </c>
      <c r="D190" t="s">
        <v>57</v>
      </c>
      <c r="E190" t="s">
        <v>87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66</v>
      </c>
      <c r="M190" t="s">
        <v>7</v>
      </c>
      <c r="N190" t="str">
        <f>IF(M190="","No Campaign",
   IF(AND(C190&gt;=VLOOKUP(M190,Cleaned_Campaign_Data!B:D,2,FALSE),
          C190&lt;=VLOOKUP(M190,Cleaned_Campaign_Data!B:D,3,FALSE)),
      "During","Before"))</f>
        <v>Before</v>
      </c>
    </row>
    <row r="191" spans="1:14" x14ac:dyDescent="0.3">
      <c r="A191" t="s">
        <v>286</v>
      </c>
      <c r="B191" t="s">
        <v>31</v>
      </c>
      <c r="C191" s="3">
        <v>45569</v>
      </c>
      <c r="D191" t="s">
        <v>61</v>
      </c>
      <c r="E191" t="s">
        <v>111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85</v>
      </c>
      <c r="N191" t="str">
        <f>IF(M191="","No Campaign",
   IF(AND(C191&gt;=VLOOKUP(M191,Cleaned_Campaign_Data!B:D,2,FALSE),
          C191&lt;=VLOOKUP(M191,Cleaned_Campaign_Data!B:D,3,FALSE)),
      "During","Before"))</f>
        <v>No Campaign</v>
      </c>
    </row>
    <row r="192" spans="1:14" x14ac:dyDescent="0.3">
      <c r="A192" t="s">
        <v>287</v>
      </c>
      <c r="B192" t="s">
        <v>31</v>
      </c>
      <c r="C192" s="3">
        <v>45629</v>
      </c>
      <c r="D192" t="s">
        <v>68</v>
      </c>
      <c r="E192" t="s">
        <v>139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85</v>
      </c>
      <c r="M192" t="s">
        <v>15</v>
      </c>
      <c r="N192" t="str">
        <f>IF(M192="","No Campaign",
   IF(AND(C192&gt;=VLOOKUP(M192,Cleaned_Campaign_Data!B:D,2,FALSE),
          C192&lt;=VLOOKUP(M192,Cleaned_Campaign_Data!B:D,3,FALSE)),
      "During","Before"))</f>
        <v>Before</v>
      </c>
    </row>
    <row r="193" spans="1:14" x14ac:dyDescent="0.3">
      <c r="A193" t="s">
        <v>288</v>
      </c>
      <c r="B193" t="s">
        <v>29</v>
      </c>
      <c r="C193" s="3">
        <v>45625</v>
      </c>
      <c r="D193" t="s">
        <v>93</v>
      </c>
      <c r="E193" t="s">
        <v>100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70</v>
      </c>
      <c r="N193" t="str">
        <f>IF(M193="","No Campaign",
   IF(AND(C193&gt;=VLOOKUP(M193,Cleaned_Campaign_Data!B:D,2,FALSE),
          C193&lt;=VLOOKUP(M193,Cleaned_Campaign_Data!B:D,3,FALSE)),
      "During","Before"))</f>
        <v>No Campaign</v>
      </c>
    </row>
    <row r="194" spans="1:14" x14ac:dyDescent="0.3">
      <c r="A194" t="s">
        <v>289</v>
      </c>
      <c r="B194" t="s">
        <v>32</v>
      </c>
      <c r="C194" s="3">
        <v>45546</v>
      </c>
      <c r="D194" t="s">
        <v>78</v>
      </c>
      <c r="E194" t="s">
        <v>126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70</v>
      </c>
      <c r="M194" t="s">
        <v>15</v>
      </c>
      <c r="N194" t="str">
        <f>IF(M194="","No Campaign",
   IF(AND(C194&gt;=VLOOKUP(M194,Cleaned_Campaign_Data!B:D,2,FALSE),
          C194&lt;=VLOOKUP(M194,Cleaned_Campaign_Data!B:D,3,FALSE)),
      "During","Before"))</f>
        <v>Before</v>
      </c>
    </row>
    <row r="195" spans="1:14" x14ac:dyDescent="0.3">
      <c r="A195" t="s">
        <v>290</v>
      </c>
      <c r="B195" t="s">
        <v>31</v>
      </c>
      <c r="C195" s="3">
        <v>45567</v>
      </c>
      <c r="D195" t="s">
        <v>68</v>
      </c>
      <c r="E195" t="s">
        <v>139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70</v>
      </c>
      <c r="M195" t="s">
        <v>7</v>
      </c>
      <c r="N195" t="str">
        <f>IF(M195="","No Campaign",
   IF(AND(C195&gt;=VLOOKUP(M195,Cleaned_Campaign_Data!B:D,2,FALSE),
          C195&lt;=VLOOKUP(M195,Cleaned_Campaign_Data!B:D,3,FALSE)),
      "During","Before"))</f>
        <v>Before</v>
      </c>
    </row>
    <row r="196" spans="1:14" x14ac:dyDescent="0.3">
      <c r="A196" t="s">
        <v>291</v>
      </c>
      <c r="B196" t="s">
        <v>29</v>
      </c>
      <c r="C196" s="3">
        <v>45519</v>
      </c>
      <c r="D196" t="s">
        <v>73</v>
      </c>
      <c r="E196" t="s">
        <v>102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175</v>
      </c>
      <c r="M196" t="s">
        <v>19</v>
      </c>
      <c r="N196" t="str">
        <f>IF(M196="","No Campaign",
   IF(AND(C196&gt;=VLOOKUP(M196,Cleaned_Campaign_Data!B:D,2,FALSE),
          C196&lt;=VLOOKUP(M196,Cleaned_Campaign_Data!B:D,3,FALSE)),
      "During","Before"))</f>
        <v>Before</v>
      </c>
    </row>
    <row r="197" spans="1:14" x14ac:dyDescent="0.3">
      <c r="A197" t="s">
        <v>292</v>
      </c>
      <c r="B197" t="s">
        <v>29</v>
      </c>
      <c r="C197" s="3">
        <v>45645</v>
      </c>
      <c r="D197" t="s">
        <v>61</v>
      </c>
      <c r="E197" t="s">
        <v>116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70</v>
      </c>
      <c r="M197" t="s">
        <v>15</v>
      </c>
      <c r="N197" t="str">
        <f>IF(M197="","No Campaign",
   IF(AND(C197&gt;=VLOOKUP(M197,Cleaned_Campaign_Data!B:D,2,FALSE),
          C197&lt;=VLOOKUP(M197,Cleaned_Campaign_Data!B:D,3,FALSE)),
      "During","Before"))</f>
        <v>Before</v>
      </c>
    </row>
    <row r="198" spans="1:14" x14ac:dyDescent="0.3">
      <c r="A198" t="s">
        <v>293</v>
      </c>
      <c r="B198" t="s">
        <v>32</v>
      </c>
      <c r="C198" s="3">
        <v>45587</v>
      </c>
      <c r="D198" t="s">
        <v>57</v>
      </c>
      <c r="E198" t="s">
        <v>58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70</v>
      </c>
      <c r="M198" t="s">
        <v>7</v>
      </c>
      <c r="N198" t="str">
        <f>IF(M198="","No Campaign",
   IF(AND(C198&gt;=VLOOKUP(M198,Cleaned_Campaign_Data!B:D,2,FALSE),
          C198&lt;=VLOOKUP(M198,Cleaned_Campaign_Data!B:D,3,FALSE)),
      "During","Before"))</f>
        <v>Before</v>
      </c>
    </row>
    <row r="199" spans="1:14" x14ac:dyDescent="0.3">
      <c r="A199" t="s">
        <v>294</v>
      </c>
      <c r="B199" t="s">
        <v>32</v>
      </c>
      <c r="C199" s="3">
        <v>45549</v>
      </c>
      <c r="D199" t="s">
        <v>78</v>
      </c>
      <c r="E199" t="s">
        <v>126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66</v>
      </c>
      <c r="M199" t="s">
        <v>15</v>
      </c>
      <c r="N199" t="str">
        <f>IF(M199="","No Campaign",
   IF(AND(C199&gt;=VLOOKUP(M199,Cleaned_Campaign_Data!B:D,2,FALSE),
          C199&lt;=VLOOKUP(M199,Cleaned_Campaign_Data!B:D,3,FALSE)),
      "During","Before"))</f>
        <v>Before</v>
      </c>
    </row>
    <row r="200" spans="1:14" x14ac:dyDescent="0.3">
      <c r="A200" t="s">
        <v>295</v>
      </c>
      <c r="B200" t="s">
        <v>31</v>
      </c>
      <c r="C200" s="3">
        <v>45626</v>
      </c>
      <c r="D200" t="s">
        <v>73</v>
      </c>
      <c r="E200" t="s">
        <v>89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66</v>
      </c>
      <c r="M200" t="s">
        <v>11</v>
      </c>
      <c r="N200" t="str">
        <f>IF(M200="","No Campaign",
   IF(AND(C200&gt;=VLOOKUP(M200,Cleaned_Campaign_Data!B:D,2,FALSE),
          C200&lt;=VLOOKUP(M200,Cleaned_Campaign_Data!B:D,3,FALSE)),
      "During","Before"))</f>
        <v>Before</v>
      </c>
    </row>
    <row r="201" spans="1:14" x14ac:dyDescent="0.3">
      <c r="A201" t="s">
        <v>296</v>
      </c>
      <c r="B201" t="s">
        <v>30</v>
      </c>
      <c r="C201" s="3">
        <v>45754</v>
      </c>
      <c r="D201" t="s">
        <v>57</v>
      </c>
      <c r="E201" t="s">
        <v>87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66</v>
      </c>
      <c r="M201" t="s">
        <v>11</v>
      </c>
      <c r="N201" t="str">
        <f>IF(M201="","No Campaign",
   IF(AND(C201&gt;=VLOOKUP(M201,Cleaned_Campaign_Data!B:D,2,FALSE),
          C201&lt;=VLOOKUP(M201,Cleaned_Campaign_Data!B:D,3,FALSE)),
      "During","Before"))</f>
        <v>Before</v>
      </c>
    </row>
    <row r="202" spans="1:14" x14ac:dyDescent="0.3">
      <c r="A202" t="s">
        <v>297</v>
      </c>
      <c r="B202" t="s">
        <v>32</v>
      </c>
      <c r="C202" s="3">
        <v>45672</v>
      </c>
      <c r="D202" t="s">
        <v>57</v>
      </c>
      <c r="E202" t="s">
        <v>58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70</v>
      </c>
      <c r="M202" t="s">
        <v>7</v>
      </c>
      <c r="N202" t="str">
        <f>IF(M202="","No Campaign",
   IF(AND(C202&gt;=VLOOKUP(M202,Cleaned_Campaign_Data!B:D,2,FALSE),
          C202&lt;=VLOOKUP(M202,Cleaned_Campaign_Data!B:D,3,FALSE)),
      "During","Before"))</f>
        <v>Before</v>
      </c>
    </row>
    <row r="203" spans="1:14" x14ac:dyDescent="0.3">
      <c r="A203" t="s">
        <v>298</v>
      </c>
      <c r="B203" t="s">
        <v>30</v>
      </c>
      <c r="C203" s="3">
        <v>45445</v>
      </c>
      <c r="D203" t="s">
        <v>78</v>
      </c>
      <c r="E203" t="s">
        <v>83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70</v>
      </c>
      <c r="M203" t="s">
        <v>15</v>
      </c>
      <c r="N203" t="str">
        <f>IF(M203="","No Campaign",
   IF(AND(C203&gt;=VLOOKUP(M203,Cleaned_Campaign_Data!B:D,2,FALSE),
          C203&lt;=VLOOKUP(M203,Cleaned_Campaign_Data!B:D,3,FALSE)),
      "During","Before"))</f>
        <v>Before</v>
      </c>
    </row>
    <row r="204" spans="1:14" x14ac:dyDescent="0.3">
      <c r="A204" t="s">
        <v>299</v>
      </c>
      <c r="B204" t="s">
        <v>29</v>
      </c>
      <c r="C204" s="3">
        <v>45617</v>
      </c>
      <c r="D204" t="s">
        <v>73</v>
      </c>
      <c r="E204" t="s">
        <v>102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85</v>
      </c>
      <c r="M204" t="s">
        <v>7</v>
      </c>
      <c r="N204" t="str">
        <f>IF(M204="","No Campaign",
   IF(AND(C204&gt;=VLOOKUP(M204,Cleaned_Campaign_Data!B:D,2,FALSE),
          C204&lt;=VLOOKUP(M204,Cleaned_Campaign_Data!B:D,3,FALSE)),
      "During","Before"))</f>
        <v>Before</v>
      </c>
    </row>
    <row r="205" spans="1:14" x14ac:dyDescent="0.3">
      <c r="A205" t="s">
        <v>300</v>
      </c>
      <c r="B205" t="s">
        <v>29</v>
      </c>
      <c r="C205" s="3">
        <v>45658</v>
      </c>
      <c r="D205" t="s">
        <v>73</v>
      </c>
      <c r="E205" t="s">
        <v>102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85</v>
      </c>
      <c r="M205" t="s">
        <v>15</v>
      </c>
      <c r="N205" t="str">
        <f>IF(M205="","No Campaign",
   IF(AND(C205&gt;=VLOOKUP(M205,Cleaned_Campaign_Data!B:D,2,FALSE),
          C205&lt;=VLOOKUP(M205,Cleaned_Campaign_Data!B:D,3,FALSE)),
      "During","Before"))</f>
        <v>During</v>
      </c>
    </row>
    <row r="206" spans="1:14" x14ac:dyDescent="0.3">
      <c r="A206" t="s">
        <v>301</v>
      </c>
      <c r="B206" t="s">
        <v>32</v>
      </c>
      <c r="C206" s="3">
        <v>45771</v>
      </c>
      <c r="D206" t="s">
        <v>93</v>
      </c>
      <c r="E206" t="s">
        <v>133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302</v>
      </c>
      <c r="M206" t="s">
        <v>19</v>
      </c>
      <c r="N206" t="str">
        <f>IF(M206="","No Campaign",
   IF(AND(C206&gt;=VLOOKUP(M206,Cleaned_Campaign_Data!B:D,2,FALSE),
          C206&lt;=VLOOKUP(M206,Cleaned_Campaign_Data!B:D,3,FALSE)),
      "During","Before"))</f>
        <v>Before</v>
      </c>
    </row>
    <row r="207" spans="1:14" x14ac:dyDescent="0.3">
      <c r="A207" t="s">
        <v>303</v>
      </c>
      <c r="B207" t="s">
        <v>32</v>
      </c>
      <c r="C207" s="3">
        <v>45467</v>
      </c>
      <c r="D207" t="s">
        <v>61</v>
      </c>
      <c r="E207" t="s">
        <v>62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70</v>
      </c>
      <c r="M207" t="s">
        <v>7</v>
      </c>
      <c r="N207" t="str">
        <f>IF(M207="","No Campaign",
   IF(AND(C207&gt;=VLOOKUP(M207,Cleaned_Campaign_Data!B:D,2,FALSE),
          C207&lt;=VLOOKUP(M207,Cleaned_Campaign_Data!B:D,3,FALSE)),
      "During","Before"))</f>
        <v>During</v>
      </c>
    </row>
    <row r="208" spans="1:14" x14ac:dyDescent="0.3">
      <c r="A208" t="s">
        <v>304</v>
      </c>
      <c r="B208" t="s">
        <v>32</v>
      </c>
      <c r="C208" s="3">
        <v>45655</v>
      </c>
      <c r="D208" t="s">
        <v>73</v>
      </c>
      <c r="E208" t="s">
        <v>76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302</v>
      </c>
      <c r="M208" t="s">
        <v>15</v>
      </c>
      <c r="N208" t="str">
        <f>IF(M208="","No Campaign",
   IF(AND(C208&gt;=VLOOKUP(M208,Cleaned_Campaign_Data!B:D,2,FALSE),
          C208&lt;=VLOOKUP(M208,Cleaned_Campaign_Data!B:D,3,FALSE)),
      "During","Before"))</f>
        <v>During</v>
      </c>
    </row>
    <row r="209" spans="1:14" x14ac:dyDescent="0.3">
      <c r="A209" t="s">
        <v>305</v>
      </c>
      <c r="B209" t="s">
        <v>31</v>
      </c>
      <c r="C209" s="3">
        <v>45467</v>
      </c>
      <c r="D209" t="s">
        <v>93</v>
      </c>
      <c r="E209" t="s">
        <v>177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66</v>
      </c>
      <c r="M209" t="s">
        <v>11</v>
      </c>
      <c r="N209" t="str">
        <f>IF(M209="","No Campaign",
   IF(AND(C209&gt;=VLOOKUP(M209,Cleaned_Campaign_Data!B:D,2,FALSE),
          C209&lt;=VLOOKUP(M209,Cleaned_Campaign_Data!B:D,3,FALSE)),
      "During","Before"))</f>
        <v>Before</v>
      </c>
    </row>
    <row r="210" spans="1:14" x14ac:dyDescent="0.3">
      <c r="A210" t="s">
        <v>306</v>
      </c>
      <c r="B210" t="s">
        <v>32</v>
      </c>
      <c r="C210" s="3">
        <v>45735</v>
      </c>
      <c r="D210" t="s">
        <v>93</v>
      </c>
      <c r="E210" t="s">
        <v>133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59</v>
      </c>
      <c r="M210" t="s">
        <v>19</v>
      </c>
      <c r="N210" t="str">
        <f>IF(M210="","No Campaign",
   IF(AND(C210&gt;=VLOOKUP(M210,Cleaned_Campaign_Data!B:D,2,FALSE),
          C210&lt;=VLOOKUP(M210,Cleaned_Campaign_Data!B:D,3,FALSE)),
      "During","Before"))</f>
        <v>During</v>
      </c>
    </row>
    <row r="211" spans="1:14" x14ac:dyDescent="0.3">
      <c r="A211" t="s">
        <v>307</v>
      </c>
      <c r="B211" t="s">
        <v>31</v>
      </c>
      <c r="C211" s="3">
        <v>45707</v>
      </c>
      <c r="D211" t="s">
        <v>78</v>
      </c>
      <c r="E211" t="s">
        <v>79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85</v>
      </c>
      <c r="M211" t="s">
        <v>7</v>
      </c>
      <c r="N211" t="str">
        <f>IF(M211="","No Campaign",
   IF(AND(C211&gt;=VLOOKUP(M211,Cleaned_Campaign_Data!B:D,2,FALSE),
          C211&lt;=VLOOKUP(M211,Cleaned_Campaign_Data!B:D,3,FALSE)),
      "During","Before"))</f>
        <v>Before</v>
      </c>
    </row>
    <row r="212" spans="1:14" x14ac:dyDescent="0.3">
      <c r="A212" t="s">
        <v>308</v>
      </c>
      <c r="B212" t="s">
        <v>32</v>
      </c>
      <c r="C212" s="3">
        <v>45491</v>
      </c>
      <c r="D212" t="s">
        <v>73</v>
      </c>
      <c r="E212" t="s">
        <v>76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85</v>
      </c>
      <c r="M212" t="s">
        <v>19</v>
      </c>
      <c r="N212" t="str">
        <f>IF(M212="","No Campaign",
   IF(AND(C212&gt;=VLOOKUP(M212,Cleaned_Campaign_Data!B:D,2,FALSE),
          C212&lt;=VLOOKUP(M212,Cleaned_Campaign_Data!B:D,3,FALSE)),
      "During","Before"))</f>
        <v>Before</v>
      </c>
    </row>
    <row r="213" spans="1:14" x14ac:dyDescent="0.3">
      <c r="A213" t="s">
        <v>309</v>
      </c>
      <c r="B213" t="s">
        <v>31</v>
      </c>
      <c r="C213" s="3">
        <v>45719</v>
      </c>
      <c r="D213" t="s">
        <v>93</v>
      </c>
      <c r="E213" t="s">
        <v>177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66</v>
      </c>
      <c r="M213" t="s">
        <v>11</v>
      </c>
      <c r="N213" t="str">
        <f>IF(M213="","No Campaign",
   IF(AND(C213&gt;=VLOOKUP(M213,Cleaned_Campaign_Data!B:D,2,FALSE),
          C213&lt;=VLOOKUP(M213,Cleaned_Campaign_Data!B:D,3,FALSE)),
      "During","Before"))</f>
        <v>Before</v>
      </c>
    </row>
    <row r="214" spans="1:14" x14ac:dyDescent="0.3">
      <c r="A214" t="s">
        <v>310</v>
      </c>
      <c r="B214" t="s">
        <v>30</v>
      </c>
      <c r="C214" s="3">
        <v>45778</v>
      </c>
      <c r="D214" t="s">
        <v>73</v>
      </c>
      <c r="E214" t="s">
        <v>74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70</v>
      </c>
      <c r="M214" t="s">
        <v>19</v>
      </c>
      <c r="N214" t="str">
        <f>IF(M214="","No Campaign",
   IF(AND(C214&gt;=VLOOKUP(M214,Cleaned_Campaign_Data!B:D,2,FALSE),
          C214&lt;=VLOOKUP(M214,Cleaned_Campaign_Data!B:D,3,FALSE)),
      "During","Before"))</f>
        <v>Before</v>
      </c>
    </row>
    <row r="215" spans="1:14" x14ac:dyDescent="0.3">
      <c r="A215" t="s">
        <v>311</v>
      </c>
      <c r="B215" t="s">
        <v>29</v>
      </c>
      <c r="C215" s="3">
        <v>45649</v>
      </c>
      <c r="D215" t="s">
        <v>78</v>
      </c>
      <c r="E215" t="s">
        <v>174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85</v>
      </c>
      <c r="M215" t="s">
        <v>11</v>
      </c>
      <c r="N215" t="str">
        <f>IF(M215="","No Campaign",
   IF(AND(C215&gt;=VLOOKUP(M215,Cleaned_Campaign_Data!B:D,2,FALSE),
          C215&lt;=VLOOKUP(M215,Cleaned_Campaign_Data!B:D,3,FALSE)),
      "During","Before"))</f>
        <v>Before</v>
      </c>
    </row>
    <row r="216" spans="1:14" x14ac:dyDescent="0.3">
      <c r="A216" t="s">
        <v>312</v>
      </c>
      <c r="B216" t="s">
        <v>30</v>
      </c>
      <c r="C216" s="3">
        <v>45783</v>
      </c>
      <c r="D216" t="s">
        <v>78</v>
      </c>
      <c r="E216" t="s">
        <v>83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70</v>
      </c>
      <c r="M216" t="s">
        <v>11</v>
      </c>
      <c r="N216" t="str">
        <f>IF(M216="","No Campaign",
   IF(AND(C216&gt;=VLOOKUP(M216,Cleaned_Campaign_Data!B:D,2,FALSE),
          C216&lt;=VLOOKUP(M216,Cleaned_Campaign_Data!B:D,3,FALSE)),
      "During","Before"))</f>
        <v>Before</v>
      </c>
    </row>
    <row r="217" spans="1:14" x14ac:dyDescent="0.3">
      <c r="A217" t="s">
        <v>313</v>
      </c>
      <c r="B217" t="s">
        <v>31</v>
      </c>
      <c r="C217" s="3">
        <v>45502</v>
      </c>
      <c r="D217" t="s">
        <v>68</v>
      </c>
      <c r="E217" t="s">
        <v>139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70</v>
      </c>
      <c r="M217" t="s">
        <v>11</v>
      </c>
      <c r="N217" t="str">
        <f>IF(M217="","No Campaign",
   IF(AND(C217&gt;=VLOOKUP(M217,Cleaned_Campaign_Data!B:D,2,FALSE),
          C217&lt;=VLOOKUP(M217,Cleaned_Campaign_Data!B:D,3,FALSE)),
      "During","Before"))</f>
        <v>Before</v>
      </c>
    </row>
    <row r="218" spans="1:14" x14ac:dyDescent="0.3">
      <c r="A218" t="s">
        <v>314</v>
      </c>
      <c r="B218" t="s">
        <v>30</v>
      </c>
      <c r="C218" s="3">
        <v>45629</v>
      </c>
      <c r="D218" t="s">
        <v>78</v>
      </c>
      <c r="E218" t="s">
        <v>83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66</v>
      </c>
      <c r="N218" t="str">
        <f>IF(M218="","No Campaign",
   IF(AND(C218&gt;=VLOOKUP(M218,Cleaned_Campaign_Data!B:D,2,FALSE),
          C218&lt;=VLOOKUP(M218,Cleaned_Campaign_Data!B:D,3,FALSE)),
      "During","Before"))</f>
        <v>No Campaign</v>
      </c>
    </row>
    <row r="219" spans="1:14" x14ac:dyDescent="0.3">
      <c r="A219" t="s">
        <v>315</v>
      </c>
      <c r="B219" t="s">
        <v>30</v>
      </c>
      <c r="C219" s="3">
        <v>45454</v>
      </c>
      <c r="D219" t="s">
        <v>73</v>
      </c>
      <c r="E219" t="s">
        <v>74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66</v>
      </c>
      <c r="M219" t="s">
        <v>19</v>
      </c>
      <c r="N219" t="str">
        <f>IF(M219="","No Campaign",
   IF(AND(C219&gt;=VLOOKUP(M219,Cleaned_Campaign_Data!B:D,2,FALSE),
          C219&lt;=VLOOKUP(M219,Cleaned_Campaign_Data!B:D,3,FALSE)),
      "During","Before"))</f>
        <v>Before</v>
      </c>
    </row>
    <row r="220" spans="1:14" x14ac:dyDescent="0.3">
      <c r="A220" t="s">
        <v>316</v>
      </c>
      <c r="B220" t="s">
        <v>32</v>
      </c>
      <c r="C220" s="3">
        <v>45685</v>
      </c>
      <c r="D220" t="s">
        <v>57</v>
      </c>
      <c r="E220" t="s">
        <v>58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66</v>
      </c>
      <c r="M220" t="s">
        <v>19</v>
      </c>
      <c r="N220" t="str">
        <f>IF(M220="","No Campaign",
   IF(AND(C220&gt;=VLOOKUP(M220,Cleaned_Campaign_Data!B:D,2,FALSE),
          C220&lt;=VLOOKUP(M220,Cleaned_Campaign_Data!B:D,3,FALSE)),
      "During","Before"))</f>
        <v>Before</v>
      </c>
    </row>
    <row r="221" spans="1:14" x14ac:dyDescent="0.3">
      <c r="A221" t="s">
        <v>317</v>
      </c>
      <c r="B221" t="s">
        <v>29</v>
      </c>
      <c r="C221" s="3">
        <v>45445</v>
      </c>
      <c r="D221" t="s">
        <v>68</v>
      </c>
      <c r="E221" t="s">
        <v>69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70</v>
      </c>
      <c r="N221" t="str">
        <f>IF(M221="","No Campaign",
   IF(AND(C221&gt;=VLOOKUP(M221,Cleaned_Campaign_Data!B:D,2,FALSE),
          C221&lt;=VLOOKUP(M221,Cleaned_Campaign_Data!B:D,3,FALSE)),
      "During","Before"))</f>
        <v>No Campaign</v>
      </c>
    </row>
    <row r="222" spans="1:14" x14ac:dyDescent="0.3">
      <c r="A222" t="s">
        <v>318</v>
      </c>
      <c r="B222" t="s">
        <v>30</v>
      </c>
      <c r="C222" s="3">
        <v>45739</v>
      </c>
      <c r="D222" t="s">
        <v>93</v>
      </c>
      <c r="E222" t="s">
        <v>94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66</v>
      </c>
      <c r="N222" t="str">
        <f>IF(M222="","No Campaign",
   IF(AND(C222&gt;=VLOOKUP(M222,Cleaned_Campaign_Data!B:D,2,FALSE),
          C222&lt;=VLOOKUP(M222,Cleaned_Campaign_Data!B:D,3,FALSE)),
      "During","Before"))</f>
        <v>No Campaign</v>
      </c>
    </row>
    <row r="223" spans="1:14" x14ac:dyDescent="0.3">
      <c r="A223" t="s">
        <v>319</v>
      </c>
      <c r="B223" t="s">
        <v>30</v>
      </c>
      <c r="C223" s="3">
        <v>45573</v>
      </c>
      <c r="D223" t="s">
        <v>57</v>
      </c>
      <c r="E223" t="s">
        <v>87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320</v>
      </c>
      <c r="M223" t="s">
        <v>7</v>
      </c>
      <c r="N223" t="str">
        <f>IF(M223="","No Campaign",
   IF(AND(C223&gt;=VLOOKUP(M223,Cleaned_Campaign_Data!B:D,2,FALSE),
          C223&lt;=VLOOKUP(M223,Cleaned_Campaign_Data!B:D,3,FALSE)),
      "During","Before"))</f>
        <v>Before</v>
      </c>
    </row>
    <row r="224" spans="1:14" x14ac:dyDescent="0.3">
      <c r="A224" t="s">
        <v>321</v>
      </c>
      <c r="B224" t="s">
        <v>32</v>
      </c>
      <c r="C224" s="3">
        <v>45608</v>
      </c>
      <c r="D224" t="s">
        <v>78</v>
      </c>
      <c r="E224" t="s">
        <v>126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66</v>
      </c>
      <c r="N224" t="str">
        <f>IF(M224="","No Campaign",
   IF(AND(C224&gt;=VLOOKUP(M224,Cleaned_Campaign_Data!B:D,2,FALSE),
          C224&lt;=VLOOKUP(M224,Cleaned_Campaign_Data!B:D,3,FALSE)),
      "During","Before"))</f>
        <v>No Campaign</v>
      </c>
    </row>
    <row r="225" spans="1:14" x14ac:dyDescent="0.3">
      <c r="A225" t="s">
        <v>322</v>
      </c>
      <c r="B225" t="s">
        <v>30</v>
      </c>
      <c r="C225" s="3">
        <v>45790</v>
      </c>
      <c r="D225" t="s">
        <v>78</v>
      </c>
      <c r="E225" t="s">
        <v>83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66</v>
      </c>
      <c r="M225" t="s">
        <v>15</v>
      </c>
      <c r="N225" t="str">
        <f>IF(M225="","No Campaign",
   IF(AND(C225&gt;=VLOOKUP(M225,Cleaned_Campaign_Data!B:D,2,FALSE),
          C225&lt;=VLOOKUP(M225,Cleaned_Campaign_Data!B:D,3,FALSE)),
      "During","Before"))</f>
        <v>Before</v>
      </c>
    </row>
    <row r="226" spans="1:14" x14ac:dyDescent="0.3">
      <c r="A226" t="s">
        <v>323</v>
      </c>
      <c r="B226" t="s">
        <v>32</v>
      </c>
      <c r="C226" s="3">
        <v>45463</v>
      </c>
      <c r="D226" t="s">
        <v>73</v>
      </c>
      <c r="E226" t="s">
        <v>76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70</v>
      </c>
      <c r="N226" t="str">
        <f>IF(M226="","No Campaign",
   IF(AND(C226&gt;=VLOOKUP(M226,Cleaned_Campaign_Data!B:D,2,FALSE),
          C226&lt;=VLOOKUP(M226,Cleaned_Campaign_Data!B:D,3,FALSE)),
      "During","Before"))</f>
        <v>No Campaign</v>
      </c>
    </row>
    <row r="227" spans="1:14" x14ac:dyDescent="0.3">
      <c r="A227" t="s">
        <v>324</v>
      </c>
      <c r="B227" t="s">
        <v>29</v>
      </c>
      <c r="C227" s="3">
        <v>45511</v>
      </c>
      <c r="D227" t="s">
        <v>73</v>
      </c>
      <c r="E227" t="s">
        <v>102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66</v>
      </c>
      <c r="N227" t="str">
        <f>IF(M227="","No Campaign",
   IF(AND(C227&gt;=VLOOKUP(M227,Cleaned_Campaign_Data!B:D,2,FALSE),
          C227&lt;=VLOOKUP(M227,Cleaned_Campaign_Data!B:D,3,FALSE)),
      "During","Before"))</f>
        <v>No Campaign</v>
      </c>
    </row>
    <row r="228" spans="1:14" x14ac:dyDescent="0.3">
      <c r="A228" t="s">
        <v>325</v>
      </c>
      <c r="B228" t="s">
        <v>29</v>
      </c>
      <c r="C228" s="3">
        <v>45455</v>
      </c>
      <c r="D228" t="s">
        <v>61</v>
      </c>
      <c r="E228" t="s">
        <v>116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85</v>
      </c>
      <c r="M228" t="s">
        <v>15</v>
      </c>
      <c r="N228" t="str">
        <f>IF(M228="","No Campaign",
   IF(AND(C228&gt;=VLOOKUP(M228,Cleaned_Campaign_Data!B:D,2,FALSE),
          C228&lt;=VLOOKUP(M228,Cleaned_Campaign_Data!B:D,3,FALSE)),
      "During","Before"))</f>
        <v>Before</v>
      </c>
    </row>
    <row r="229" spans="1:14" x14ac:dyDescent="0.3">
      <c r="A229" t="s">
        <v>326</v>
      </c>
      <c r="B229" t="s">
        <v>29</v>
      </c>
      <c r="C229" s="3">
        <v>45474</v>
      </c>
      <c r="D229" t="s">
        <v>68</v>
      </c>
      <c r="E229" t="s">
        <v>69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70</v>
      </c>
      <c r="M229" t="s">
        <v>7</v>
      </c>
      <c r="N229" t="str">
        <f>IF(M229="","No Campaign",
   IF(AND(C229&gt;=VLOOKUP(M229,Cleaned_Campaign_Data!B:D,2,FALSE),
          C229&lt;=VLOOKUP(M229,Cleaned_Campaign_Data!B:D,3,FALSE)),
      "During","Before"))</f>
        <v>During</v>
      </c>
    </row>
    <row r="230" spans="1:14" x14ac:dyDescent="0.3">
      <c r="A230" t="s">
        <v>327</v>
      </c>
      <c r="B230" t="s">
        <v>29</v>
      </c>
      <c r="C230" s="3">
        <v>45476</v>
      </c>
      <c r="D230" t="s">
        <v>73</v>
      </c>
      <c r="E230" t="s">
        <v>102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66</v>
      </c>
      <c r="N230" t="str">
        <f>IF(M230="","No Campaign",
   IF(AND(C230&gt;=VLOOKUP(M230,Cleaned_Campaign_Data!B:D,2,FALSE),
          C230&lt;=VLOOKUP(M230,Cleaned_Campaign_Data!B:D,3,FALSE)),
      "During","Before"))</f>
        <v>No Campaign</v>
      </c>
    </row>
    <row r="231" spans="1:14" x14ac:dyDescent="0.3">
      <c r="A231" t="s">
        <v>328</v>
      </c>
      <c r="B231" t="s">
        <v>30</v>
      </c>
      <c r="C231" s="3">
        <v>45488</v>
      </c>
      <c r="D231" t="s">
        <v>57</v>
      </c>
      <c r="E231" t="s">
        <v>87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70</v>
      </c>
      <c r="M231" t="s">
        <v>15</v>
      </c>
      <c r="N231" t="str">
        <f>IF(M231="","No Campaign",
   IF(AND(C231&gt;=VLOOKUP(M231,Cleaned_Campaign_Data!B:D,2,FALSE),
          C231&lt;=VLOOKUP(M231,Cleaned_Campaign_Data!B:D,3,FALSE)),
      "During","Before"))</f>
        <v>Before</v>
      </c>
    </row>
    <row r="232" spans="1:14" x14ac:dyDescent="0.3">
      <c r="A232" t="s">
        <v>329</v>
      </c>
      <c r="B232" t="s">
        <v>29</v>
      </c>
      <c r="C232" s="3">
        <v>45778</v>
      </c>
      <c r="D232" t="s">
        <v>61</v>
      </c>
      <c r="E232" t="s">
        <v>116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85</v>
      </c>
      <c r="M232" t="s">
        <v>7</v>
      </c>
      <c r="N232" t="str">
        <f>IF(M232="","No Campaign",
   IF(AND(C232&gt;=VLOOKUP(M232,Cleaned_Campaign_Data!B:D,2,FALSE),
          C232&lt;=VLOOKUP(M232,Cleaned_Campaign_Data!B:D,3,FALSE)),
      "During","Before"))</f>
        <v>Before</v>
      </c>
    </row>
    <row r="233" spans="1:14" x14ac:dyDescent="0.3">
      <c r="A233" t="s">
        <v>330</v>
      </c>
      <c r="B233" t="s">
        <v>32</v>
      </c>
      <c r="C233" s="3">
        <v>45776</v>
      </c>
      <c r="D233" t="s">
        <v>68</v>
      </c>
      <c r="E233" t="s">
        <v>136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70</v>
      </c>
      <c r="M233" t="s">
        <v>19</v>
      </c>
      <c r="N233" t="str">
        <f>IF(M233="","No Campaign",
   IF(AND(C233&gt;=VLOOKUP(M233,Cleaned_Campaign_Data!B:D,2,FALSE),
          C233&lt;=VLOOKUP(M233,Cleaned_Campaign_Data!B:D,3,FALSE)),
      "During","Before"))</f>
        <v>Before</v>
      </c>
    </row>
    <row r="234" spans="1:14" x14ac:dyDescent="0.3">
      <c r="A234" t="s">
        <v>331</v>
      </c>
      <c r="B234" t="s">
        <v>30</v>
      </c>
      <c r="C234" s="3">
        <v>45724</v>
      </c>
      <c r="D234" t="s">
        <v>78</v>
      </c>
      <c r="E234" t="s">
        <v>83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85</v>
      </c>
      <c r="M234" t="s">
        <v>19</v>
      </c>
      <c r="N234" t="str">
        <f>IF(M234="","No Campaign",
   IF(AND(C234&gt;=VLOOKUP(M234,Cleaned_Campaign_Data!B:D,2,FALSE),
          C234&lt;=VLOOKUP(M234,Cleaned_Campaign_Data!B:D,3,FALSE)),
      "During","Before"))</f>
        <v>During</v>
      </c>
    </row>
    <row r="235" spans="1:14" x14ac:dyDescent="0.3">
      <c r="A235" t="s">
        <v>332</v>
      </c>
      <c r="B235" t="s">
        <v>30</v>
      </c>
      <c r="C235" s="3">
        <v>45444</v>
      </c>
      <c r="D235" t="s">
        <v>61</v>
      </c>
      <c r="E235" t="s">
        <v>81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66</v>
      </c>
      <c r="N235" t="str">
        <f>IF(M235="","No Campaign",
   IF(AND(C235&gt;=VLOOKUP(M235,Cleaned_Campaign_Data!B:D,2,FALSE),
          C235&lt;=VLOOKUP(M235,Cleaned_Campaign_Data!B:D,3,FALSE)),
      "During","Before"))</f>
        <v>No Campaign</v>
      </c>
    </row>
    <row r="236" spans="1:14" x14ac:dyDescent="0.3">
      <c r="A236" t="s">
        <v>333</v>
      </c>
      <c r="B236" t="s">
        <v>30</v>
      </c>
      <c r="C236" s="3">
        <v>45648</v>
      </c>
      <c r="D236" t="s">
        <v>78</v>
      </c>
      <c r="E236" t="s">
        <v>83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66</v>
      </c>
      <c r="M236" t="s">
        <v>15</v>
      </c>
      <c r="N236" t="str">
        <f>IF(M236="","No Campaign",
   IF(AND(C236&gt;=VLOOKUP(M236,Cleaned_Campaign_Data!B:D,2,FALSE),
          C236&lt;=VLOOKUP(M236,Cleaned_Campaign_Data!B:D,3,FALSE)),
      "During","Before"))</f>
        <v>Before</v>
      </c>
    </row>
    <row r="237" spans="1:14" x14ac:dyDescent="0.3">
      <c r="A237" t="s">
        <v>334</v>
      </c>
      <c r="B237" t="s">
        <v>30</v>
      </c>
      <c r="C237" s="3">
        <v>45523</v>
      </c>
      <c r="D237" t="s">
        <v>61</v>
      </c>
      <c r="E237" t="s">
        <v>81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335</v>
      </c>
      <c r="M237" t="s">
        <v>11</v>
      </c>
      <c r="N237" t="str">
        <f>IF(M237="","No Campaign",
   IF(AND(C237&gt;=VLOOKUP(M237,Cleaned_Campaign_Data!B:D,2,FALSE),
          C237&lt;=VLOOKUP(M237,Cleaned_Campaign_Data!B:D,3,FALSE)),
      "During","Before"))</f>
        <v>Before</v>
      </c>
    </row>
    <row r="238" spans="1:14" x14ac:dyDescent="0.3">
      <c r="A238" t="s">
        <v>336</v>
      </c>
      <c r="B238" t="s">
        <v>29</v>
      </c>
      <c r="C238" s="3">
        <v>45587</v>
      </c>
      <c r="D238" t="s">
        <v>68</v>
      </c>
      <c r="E238" t="s">
        <v>69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85</v>
      </c>
      <c r="M238" t="s">
        <v>7</v>
      </c>
      <c r="N238" t="str">
        <f>IF(M238="","No Campaign",
   IF(AND(C238&gt;=VLOOKUP(M238,Cleaned_Campaign_Data!B:D,2,FALSE),
          C238&lt;=VLOOKUP(M238,Cleaned_Campaign_Data!B:D,3,FALSE)),
      "During","Before"))</f>
        <v>Before</v>
      </c>
    </row>
    <row r="239" spans="1:14" x14ac:dyDescent="0.3">
      <c r="A239" t="s">
        <v>337</v>
      </c>
      <c r="B239" t="s">
        <v>32</v>
      </c>
      <c r="C239" s="3">
        <v>45489</v>
      </c>
      <c r="D239" t="s">
        <v>61</v>
      </c>
      <c r="E239" t="s">
        <v>62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85</v>
      </c>
      <c r="M239" t="s">
        <v>19</v>
      </c>
      <c r="N239" t="str">
        <f>IF(M239="","No Campaign",
   IF(AND(C239&gt;=VLOOKUP(M239,Cleaned_Campaign_Data!B:D,2,FALSE),
          C239&lt;=VLOOKUP(M239,Cleaned_Campaign_Data!B:D,3,FALSE)),
      "During","Before"))</f>
        <v>Before</v>
      </c>
    </row>
    <row r="240" spans="1:14" x14ac:dyDescent="0.3">
      <c r="A240" t="s">
        <v>338</v>
      </c>
      <c r="B240" t="s">
        <v>31</v>
      </c>
      <c r="C240" s="3">
        <v>45712</v>
      </c>
      <c r="D240" t="s">
        <v>61</v>
      </c>
      <c r="E240" t="s">
        <v>111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85</v>
      </c>
      <c r="N240" t="str">
        <f>IF(M240="","No Campaign",
   IF(AND(C240&gt;=VLOOKUP(M240,Cleaned_Campaign_Data!B:D,2,FALSE),
          C240&lt;=VLOOKUP(M240,Cleaned_Campaign_Data!B:D,3,FALSE)),
      "During","Before"))</f>
        <v>No Campaign</v>
      </c>
    </row>
    <row r="241" spans="1:14" x14ac:dyDescent="0.3">
      <c r="A241" t="s">
        <v>339</v>
      </c>
      <c r="B241" t="s">
        <v>32</v>
      </c>
      <c r="C241" s="3">
        <v>45530</v>
      </c>
      <c r="D241" t="s">
        <v>73</v>
      </c>
      <c r="E241" t="s">
        <v>76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151</v>
      </c>
      <c r="M241" t="s">
        <v>15</v>
      </c>
      <c r="N241" t="str">
        <f>IF(M241="","No Campaign",
   IF(AND(C241&gt;=VLOOKUP(M241,Cleaned_Campaign_Data!B:D,2,FALSE),
          C241&lt;=VLOOKUP(M241,Cleaned_Campaign_Data!B:D,3,FALSE)),
      "During","Before"))</f>
        <v>Before</v>
      </c>
    </row>
    <row r="242" spans="1:14" x14ac:dyDescent="0.3">
      <c r="A242" t="s">
        <v>340</v>
      </c>
      <c r="B242" t="s">
        <v>30</v>
      </c>
      <c r="C242" s="3">
        <v>45675</v>
      </c>
      <c r="D242" t="s">
        <v>68</v>
      </c>
      <c r="E242" t="s">
        <v>91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66</v>
      </c>
      <c r="M242" t="s">
        <v>19</v>
      </c>
      <c r="N242" t="str">
        <f>IF(M242="","No Campaign",
   IF(AND(C242&gt;=VLOOKUP(M242,Cleaned_Campaign_Data!B:D,2,FALSE),
          C242&lt;=VLOOKUP(M242,Cleaned_Campaign_Data!B:D,3,FALSE)),
      "During","Before"))</f>
        <v>Before</v>
      </c>
    </row>
    <row r="243" spans="1:14" x14ac:dyDescent="0.3">
      <c r="A243" t="s">
        <v>341</v>
      </c>
      <c r="B243" t="s">
        <v>30</v>
      </c>
      <c r="C243" s="3">
        <v>45480</v>
      </c>
      <c r="D243" t="s">
        <v>57</v>
      </c>
      <c r="E243" t="s">
        <v>87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70</v>
      </c>
      <c r="M243" t="s">
        <v>15</v>
      </c>
      <c r="N243" t="str">
        <f>IF(M243="","No Campaign",
   IF(AND(C243&gt;=VLOOKUP(M243,Cleaned_Campaign_Data!B:D,2,FALSE),
          C243&lt;=VLOOKUP(M243,Cleaned_Campaign_Data!B:D,3,FALSE)),
      "During","Before"))</f>
        <v>Before</v>
      </c>
    </row>
    <row r="244" spans="1:14" x14ac:dyDescent="0.3">
      <c r="A244" t="s">
        <v>342</v>
      </c>
      <c r="B244" t="s">
        <v>32</v>
      </c>
      <c r="C244" s="3">
        <v>45722</v>
      </c>
      <c r="D244" t="s">
        <v>78</v>
      </c>
      <c r="E244" t="s">
        <v>126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85</v>
      </c>
      <c r="M244" t="s">
        <v>19</v>
      </c>
      <c r="N244" t="str">
        <f>IF(M244="","No Campaign",
   IF(AND(C244&gt;=VLOOKUP(M244,Cleaned_Campaign_Data!B:D,2,FALSE),
          C244&lt;=VLOOKUP(M244,Cleaned_Campaign_Data!B:D,3,FALSE)),
      "During","Before"))</f>
        <v>During</v>
      </c>
    </row>
    <row r="245" spans="1:14" x14ac:dyDescent="0.3">
      <c r="A245" t="s">
        <v>343</v>
      </c>
      <c r="B245" t="s">
        <v>31</v>
      </c>
      <c r="C245" s="3">
        <v>45590</v>
      </c>
      <c r="D245" t="s">
        <v>93</v>
      </c>
      <c r="E245" t="s">
        <v>177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85</v>
      </c>
      <c r="M245" t="s">
        <v>15</v>
      </c>
      <c r="N245" t="str">
        <f>IF(M245="","No Campaign",
   IF(AND(C245&gt;=VLOOKUP(M245,Cleaned_Campaign_Data!B:D,2,FALSE),
          C245&lt;=VLOOKUP(M245,Cleaned_Campaign_Data!B:D,3,FALSE)),
      "During","Before"))</f>
        <v>Before</v>
      </c>
    </row>
    <row r="246" spans="1:14" x14ac:dyDescent="0.3">
      <c r="A246" t="s">
        <v>344</v>
      </c>
      <c r="B246" t="s">
        <v>30</v>
      </c>
      <c r="C246" s="3">
        <v>45669</v>
      </c>
      <c r="D246" t="s">
        <v>57</v>
      </c>
      <c r="E246" t="s">
        <v>87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70</v>
      </c>
      <c r="M246" t="s">
        <v>7</v>
      </c>
      <c r="N246" t="str">
        <f>IF(M246="","No Campaign",
   IF(AND(C246&gt;=VLOOKUP(M246,Cleaned_Campaign_Data!B:D,2,FALSE),
          C246&lt;=VLOOKUP(M246,Cleaned_Campaign_Data!B:D,3,FALSE)),
      "During","Before"))</f>
        <v>Before</v>
      </c>
    </row>
    <row r="247" spans="1:14" x14ac:dyDescent="0.3">
      <c r="A247" t="s">
        <v>345</v>
      </c>
      <c r="B247" t="s">
        <v>30</v>
      </c>
      <c r="C247" s="3">
        <v>45576</v>
      </c>
      <c r="D247" t="s">
        <v>78</v>
      </c>
      <c r="E247" t="s">
        <v>83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85</v>
      </c>
      <c r="M247" t="s">
        <v>11</v>
      </c>
      <c r="N247" t="str">
        <f>IF(M247="","No Campaign",
   IF(AND(C247&gt;=VLOOKUP(M247,Cleaned_Campaign_Data!B:D,2,FALSE),
          C247&lt;=VLOOKUP(M247,Cleaned_Campaign_Data!B:D,3,FALSE)),
      "During","Before"))</f>
        <v>During</v>
      </c>
    </row>
    <row r="248" spans="1:14" x14ac:dyDescent="0.3">
      <c r="A248" t="s">
        <v>346</v>
      </c>
      <c r="B248" t="s">
        <v>30</v>
      </c>
      <c r="C248" s="3">
        <v>45531</v>
      </c>
      <c r="D248" t="s">
        <v>57</v>
      </c>
      <c r="E248" t="s">
        <v>87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347</v>
      </c>
      <c r="N248" t="str">
        <f>IF(M248="","No Campaign",
   IF(AND(C248&gt;=VLOOKUP(M248,Cleaned_Campaign_Data!B:D,2,FALSE),
          C248&lt;=VLOOKUP(M248,Cleaned_Campaign_Data!B:D,3,FALSE)),
      "During","Before"))</f>
        <v>No Campaign</v>
      </c>
    </row>
    <row r="249" spans="1:14" x14ac:dyDescent="0.3">
      <c r="A249" t="s">
        <v>348</v>
      </c>
      <c r="B249" t="s">
        <v>30</v>
      </c>
      <c r="C249" s="3">
        <v>45690</v>
      </c>
      <c r="D249" t="s">
        <v>68</v>
      </c>
      <c r="E249" t="s">
        <v>91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70</v>
      </c>
      <c r="N249" t="str">
        <f>IF(M249="","No Campaign",
   IF(AND(C249&gt;=VLOOKUP(M249,Cleaned_Campaign_Data!B:D,2,FALSE),
          C249&lt;=VLOOKUP(M249,Cleaned_Campaign_Data!B:D,3,FALSE)),
      "During","Before"))</f>
        <v>No Campaign</v>
      </c>
    </row>
    <row r="250" spans="1:14" x14ac:dyDescent="0.3">
      <c r="A250" t="s">
        <v>349</v>
      </c>
      <c r="B250" t="s">
        <v>32</v>
      </c>
      <c r="C250" s="3">
        <v>45491</v>
      </c>
      <c r="D250" t="s">
        <v>78</v>
      </c>
      <c r="E250" t="s">
        <v>126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70</v>
      </c>
      <c r="M250" t="s">
        <v>11</v>
      </c>
      <c r="N250" t="str">
        <f>IF(M250="","No Campaign",
   IF(AND(C250&gt;=VLOOKUP(M250,Cleaned_Campaign_Data!B:D,2,FALSE),
          C250&lt;=VLOOKUP(M250,Cleaned_Campaign_Data!B:D,3,FALSE)),
      "During","Before"))</f>
        <v>Before</v>
      </c>
    </row>
    <row r="251" spans="1:14" x14ac:dyDescent="0.3">
      <c r="A251" t="s">
        <v>350</v>
      </c>
      <c r="B251" t="s">
        <v>30</v>
      </c>
      <c r="C251" s="3">
        <v>45465</v>
      </c>
      <c r="D251" t="s">
        <v>57</v>
      </c>
      <c r="E251" t="s">
        <v>87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85</v>
      </c>
      <c r="N251" t="str">
        <f>IF(M251="","No Campaign",
   IF(AND(C251&gt;=VLOOKUP(M251,Cleaned_Campaign_Data!B:D,2,FALSE),
          C251&lt;=VLOOKUP(M251,Cleaned_Campaign_Data!B:D,3,FALSE)),
      "During","Before"))</f>
        <v>No Campaign</v>
      </c>
    </row>
    <row r="252" spans="1:14" x14ac:dyDescent="0.3">
      <c r="A252" t="s">
        <v>351</v>
      </c>
      <c r="B252" t="s">
        <v>29</v>
      </c>
      <c r="C252" s="3">
        <v>45743</v>
      </c>
      <c r="D252" t="s">
        <v>73</v>
      </c>
      <c r="E252" t="s">
        <v>102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85</v>
      </c>
      <c r="N252" t="str">
        <f>IF(M252="","No Campaign",
   IF(AND(C252&gt;=VLOOKUP(M252,Cleaned_Campaign_Data!B:D,2,FALSE),
          C252&lt;=VLOOKUP(M252,Cleaned_Campaign_Data!B:D,3,FALSE)),
      "During","Before"))</f>
        <v>No Campaign</v>
      </c>
    </row>
    <row r="253" spans="1:14" x14ac:dyDescent="0.3">
      <c r="A253" t="s">
        <v>352</v>
      </c>
      <c r="B253" t="s">
        <v>30</v>
      </c>
      <c r="C253" s="3">
        <v>45775</v>
      </c>
      <c r="D253" t="s">
        <v>73</v>
      </c>
      <c r="E253" t="s">
        <v>74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85</v>
      </c>
      <c r="M253" t="s">
        <v>15</v>
      </c>
      <c r="N253" t="str">
        <f>IF(M253="","No Campaign",
   IF(AND(C253&gt;=VLOOKUP(M253,Cleaned_Campaign_Data!B:D,2,FALSE),
          C253&lt;=VLOOKUP(M253,Cleaned_Campaign_Data!B:D,3,FALSE)),
      "During","Before"))</f>
        <v>Before</v>
      </c>
    </row>
    <row r="254" spans="1:14" x14ac:dyDescent="0.3">
      <c r="A254" t="s">
        <v>353</v>
      </c>
      <c r="B254" t="s">
        <v>32</v>
      </c>
      <c r="C254" s="3">
        <v>45507</v>
      </c>
      <c r="D254" t="s">
        <v>57</v>
      </c>
      <c r="E254" t="s">
        <v>58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70</v>
      </c>
      <c r="N254" t="str">
        <f>IF(M254="","No Campaign",
   IF(AND(C254&gt;=VLOOKUP(M254,Cleaned_Campaign_Data!B:D,2,FALSE),
          C254&lt;=VLOOKUP(M254,Cleaned_Campaign_Data!B:D,3,FALSE)),
      "During","Before"))</f>
        <v>No Campaign</v>
      </c>
    </row>
    <row r="255" spans="1:14" x14ac:dyDescent="0.3">
      <c r="A255" t="s">
        <v>354</v>
      </c>
      <c r="B255" t="s">
        <v>32</v>
      </c>
      <c r="C255" s="3">
        <v>45671</v>
      </c>
      <c r="D255" t="s">
        <v>78</v>
      </c>
      <c r="E255" t="s">
        <v>126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85</v>
      </c>
      <c r="M255" t="s">
        <v>11</v>
      </c>
      <c r="N255" t="str">
        <f>IF(M255="","No Campaign",
   IF(AND(C255&gt;=VLOOKUP(M255,Cleaned_Campaign_Data!B:D,2,FALSE),
          C255&lt;=VLOOKUP(M255,Cleaned_Campaign_Data!B:D,3,FALSE)),
      "During","Before"))</f>
        <v>Before</v>
      </c>
    </row>
    <row r="256" spans="1:14" x14ac:dyDescent="0.3">
      <c r="A256" t="s">
        <v>355</v>
      </c>
      <c r="B256" t="s">
        <v>30</v>
      </c>
      <c r="C256" s="3">
        <v>45750</v>
      </c>
      <c r="D256" t="s">
        <v>68</v>
      </c>
      <c r="E256" t="s">
        <v>91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85</v>
      </c>
      <c r="M256" t="s">
        <v>19</v>
      </c>
      <c r="N256" t="str">
        <f>IF(M256="","No Campaign",
   IF(AND(C256&gt;=VLOOKUP(M256,Cleaned_Campaign_Data!B:D,2,FALSE),
          C256&lt;=VLOOKUP(M256,Cleaned_Campaign_Data!B:D,3,FALSE)),
      "During","Before"))</f>
        <v>Before</v>
      </c>
    </row>
    <row r="257" spans="1:14" x14ac:dyDescent="0.3">
      <c r="A257" t="s">
        <v>356</v>
      </c>
      <c r="B257" t="s">
        <v>31</v>
      </c>
      <c r="C257" s="3">
        <v>45553</v>
      </c>
      <c r="D257" t="s">
        <v>73</v>
      </c>
      <c r="E257" t="s">
        <v>89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70</v>
      </c>
      <c r="M257" t="s">
        <v>11</v>
      </c>
      <c r="N257" t="str">
        <f>IF(M257="","No Campaign",
   IF(AND(C257&gt;=VLOOKUP(M257,Cleaned_Campaign_Data!B:D,2,FALSE),
          C257&lt;=VLOOKUP(M257,Cleaned_Campaign_Data!B:D,3,FALSE)),
      "During","Before"))</f>
        <v>Before</v>
      </c>
    </row>
    <row r="258" spans="1:14" x14ac:dyDescent="0.3">
      <c r="A258" t="s">
        <v>357</v>
      </c>
      <c r="B258" t="s">
        <v>30</v>
      </c>
      <c r="C258" s="3">
        <v>45753</v>
      </c>
      <c r="D258" t="s">
        <v>78</v>
      </c>
      <c r="E258" t="s">
        <v>83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358</v>
      </c>
      <c r="M258" t="s">
        <v>11</v>
      </c>
      <c r="N258" t="str">
        <f>IF(M258="","No Campaign",
   IF(AND(C258&gt;=VLOOKUP(M258,Cleaned_Campaign_Data!B:D,2,FALSE),
          C258&lt;=VLOOKUP(M258,Cleaned_Campaign_Data!B:D,3,FALSE)),
      "During","Before"))</f>
        <v>Before</v>
      </c>
    </row>
    <row r="259" spans="1:14" x14ac:dyDescent="0.3">
      <c r="A259" t="s">
        <v>359</v>
      </c>
      <c r="B259" t="s">
        <v>29</v>
      </c>
      <c r="C259" s="3">
        <v>45509</v>
      </c>
      <c r="D259" t="s">
        <v>68</v>
      </c>
      <c r="E259" t="s">
        <v>69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70</v>
      </c>
      <c r="M259" t="s">
        <v>11</v>
      </c>
      <c r="N259" t="str">
        <f>IF(M259="","No Campaign",
   IF(AND(C259&gt;=VLOOKUP(M259,Cleaned_Campaign_Data!B:D,2,FALSE),
          C259&lt;=VLOOKUP(M259,Cleaned_Campaign_Data!B:D,3,FALSE)),
      "During","Before"))</f>
        <v>Before</v>
      </c>
    </row>
    <row r="260" spans="1:14" x14ac:dyDescent="0.3">
      <c r="A260" t="s">
        <v>360</v>
      </c>
      <c r="B260" t="s">
        <v>30</v>
      </c>
      <c r="C260" s="3">
        <v>45698</v>
      </c>
      <c r="D260" t="s">
        <v>61</v>
      </c>
      <c r="E260" t="s">
        <v>81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66</v>
      </c>
      <c r="M260" t="s">
        <v>7</v>
      </c>
      <c r="N260" t="str">
        <f>IF(M260="","No Campaign",
   IF(AND(C260&gt;=VLOOKUP(M260,Cleaned_Campaign_Data!B:D,2,FALSE),
          C260&lt;=VLOOKUP(M260,Cleaned_Campaign_Data!B:D,3,FALSE)),
      "During","Before"))</f>
        <v>Before</v>
      </c>
    </row>
    <row r="261" spans="1:14" x14ac:dyDescent="0.3">
      <c r="A261" t="s">
        <v>361</v>
      </c>
      <c r="B261" t="s">
        <v>29</v>
      </c>
      <c r="C261" s="3">
        <v>45700</v>
      </c>
      <c r="D261" t="s">
        <v>68</v>
      </c>
      <c r="E261" t="s">
        <v>69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362</v>
      </c>
      <c r="M261" t="s">
        <v>15</v>
      </c>
      <c r="N261" t="str">
        <f>IF(M261="","No Campaign",
   IF(AND(C261&gt;=VLOOKUP(M261,Cleaned_Campaign_Data!B:D,2,FALSE),
          C261&lt;=VLOOKUP(M261,Cleaned_Campaign_Data!B:D,3,FALSE)),
      "During","Before"))</f>
        <v>Before</v>
      </c>
    </row>
    <row r="262" spans="1:14" x14ac:dyDescent="0.3">
      <c r="A262" t="s">
        <v>363</v>
      </c>
      <c r="B262" t="s">
        <v>29</v>
      </c>
      <c r="C262" s="3">
        <v>45592</v>
      </c>
      <c r="D262" t="s">
        <v>78</v>
      </c>
      <c r="E262" t="s">
        <v>174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70</v>
      </c>
      <c r="M262" t="s">
        <v>7</v>
      </c>
      <c r="N262" t="str">
        <f>IF(M262="","No Campaign",
   IF(AND(C262&gt;=VLOOKUP(M262,Cleaned_Campaign_Data!B:D,2,FALSE),
          C262&lt;=VLOOKUP(M262,Cleaned_Campaign_Data!B:D,3,FALSE)),
      "During","Before"))</f>
        <v>Before</v>
      </c>
    </row>
    <row r="263" spans="1:14" x14ac:dyDescent="0.3">
      <c r="A263" t="s">
        <v>364</v>
      </c>
      <c r="B263" t="s">
        <v>31</v>
      </c>
      <c r="C263" s="3">
        <v>45675</v>
      </c>
      <c r="D263" t="s">
        <v>78</v>
      </c>
      <c r="E263" t="s">
        <v>79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66</v>
      </c>
      <c r="N263" t="str">
        <f>IF(M263="","No Campaign",
   IF(AND(C263&gt;=VLOOKUP(M263,Cleaned_Campaign_Data!B:D,2,FALSE),
          C263&lt;=VLOOKUP(M263,Cleaned_Campaign_Data!B:D,3,FALSE)),
      "During","Before"))</f>
        <v>No Campaign</v>
      </c>
    </row>
    <row r="264" spans="1:14" x14ac:dyDescent="0.3">
      <c r="A264" t="s">
        <v>365</v>
      </c>
      <c r="B264" t="s">
        <v>29</v>
      </c>
      <c r="C264" s="3">
        <v>45524</v>
      </c>
      <c r="D264" t="s">
        <v>57</v>
      </c>
      <c r="E264" t="s">
        <v>98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85</v>
      </c>
      <c r="M264" t="s">
        <v>11</v>
      </c>
      <c r="N264" t="str">
        <f>IF(M264="","No Campaign",
   IF(AND(C264&gt;=VLOOKUP(M264,Cleaned_Campaign_Data!B:D,2,FALSE),
          C264&lt;=VLOOKUP(M264,Cleaned_Campaign_Data!B:D,3,FALSE)),
      "During","Before"))</f>
        <v>Before</v>
      </c>
    </row>
    <row r="265" spans="1:14" x14ac:dyDescent="0.3">
      <c r="A265" t="s">
        <v>366</v>
      </c>
      <c r="B265" t="s">
        <v>32</v>
      </c>
      <c r="C265" s="3">
        <v>45687</v>
      </c>
      <c r="D265" t="s">
        <v>78</v>
      </c>
      <c r="E265" t="s">
        <v>126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66</v>
      </c>
      <c r="M265" t="s">
        <v>11</v>
      </c>
      <c r="N265" t="str">
        <f>IF(M265="","No Campaign",
   IF(AND(C265&gt;=VLOOKUP(M265,Cleaned_Campaign_Data!B:D,2,FALSE),
          C265&lt;=VLOOKUP(M265,Cleaned_Campaign_Data!B:D,3,FALSE)),
      "During","Before"))</f>
        <v>Before</v>
      </c>
    </row>
    <row r="266" spans="1:14" x14ac:dyDescent="0.3">
      <c r="A266" t="s">
        <v>367</v>
      </c>
      <c r="B266" t="s">
        <v>32</v>
      </c>
      <c r="C266" s="3">
        <v>45708</v>
      </c>
      <c r="D266" t="s">
        <v>73</v>
      </c>
      <c r="E266" t="s">
        <v>76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70</v>
      </c>
      <c r="M266" t="s">
        <v>19</v>
      </c>
      <c r="N266" t="str">
        <f>IF(M266="","No Campaign",
   IF(AND(C266&gt;=VLOOKUP(M266,Cleaned_Campaign_Data!B:D,2,FALSE),
          C266&lt;=VLOOKUP(M266,Cleaned_Campaign_Data!B:D,3,FALSE)),
      "During","Before"))</f>
        <v>Before</v>
      </c>
    </row>
    <row r="267" spans="1:14" x14ac:dyDescent="0.3">
      <c r="A267" t="s">
        <v>368</v>
      </c>
      <c r="B267" t="s">
        <v>30</v>
      </c>
      <c r="C267" s="3">
        <v>45621</v>
      </c>
      <c r="D267" t="s">
        <v>68</v>
      </c>
      <c r="E267" t="s">
        <v>91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66</v>
      </c>
      <c r="M267" t="s">
        <v>15</v>
      </c>
      <c r="N267" t="str">
        <f>IF(M267="","No Campaign",
   IF(AND(C267&gt;=VLOOKUP(M267,Cleaned_Campaign_Data!B:D,2,FALSE),
          C267&lt;=VLOOKUP(M267,Cleaned_Campaign_Data!B:D,3,FALSE)),
      "During","Before"))</f>
        <v>Before</v>
      </c>
    </row>
    <row r="268" spans="1:14" x14ac:dyDescent="0.3">
      <c r="A268" t="s">
        <v>369</v>
      </c>
      <c r="B268" t="s">
        <v>32</v>
      </c>
      <c r="C268" s="3">
        <v>45569</v>
      </c>
      <c r="D268" t="s">
        <v>57</v>
      </c>
      <c r="E268" t="s">
        <v>58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85</v>
      </c>
      <c r="N268" t="str">
        <f>IF(M268="","No Campaign",
   IF(AND(C268&gt;=VLOOKUP(M268,Cleaned_Campaign_Data!B:D,2,FALSE),
          C268&lt;=VLOOKUP(M268,Cleaned_Campaign_Data!B:D,3,FALSE)),
      "During","Before"))</f>
        <v>No Campaign</v>
      </c>
    </row>
    <row r="269" spans="1:14" x14ac:dyDescent="0.3">
      <c r="A269" t="s">
        <v>370</v>
      </c>
      <c r="B269" t="s">
        <v>29</v>
      </c>
      <c r="C269" s="3">
        <v>45760</v>
      </c>
      <c r="D269" t="s">
        <v>57</v>
      </c>
      <c r="E269" t="s">
        <v>98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70</v>
      </c>
      <c r="M269" t="s">
        <v>7</v>
      </c>
      <c r="N269" t="str">
        <f>IF(M269="","No Campaign",
   IF(AND(C269&gt;=VLOOKUP(M269,Cleaned_Campaign_Data!B:D,2,FALSE),
          C269&lt;=VLOOKUP(M269,Cleaned_Campaign_Data!B:D,3,FALSE)),
      "During","Before"))</f>
        <v>Before</v>
      </c>
    </row>
    <row r="270" spans="1:14" x14ac:dyDescent="0.3">
      <c r="A270" t="s">
        <v>371</v>
      </c>
      <c r="B270" t="s">
        <v>29</v>
      </c>
      <c r="C270" s="3">
        <v>45601</v>
      </c>
      <c r="D270" t="s">
        <v>93</v>
      </c>
      <c r="E270" t="s">
        <v>100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66</v>
      </c>
      <c r="M270" t="s">
        <v>11</v>
      </c>
      <c r="N270" t="str">
        <f>IF(M270="","No Campaign",
   IF(AND(C270&gt;=VLOOKUP(M270,Cleaned_Campaign_Data!B:D,2,FALSE),
          C270&lt;=VLOOKUP(M270,Cleaned_Campaign_Data!B:D,3,FALSE)),
      "During","Before"))</f>
        <v>Before</v>
      </c>
    </row>
    <row r="271" spans="1:14" x14ac:dyDescent="0.3">
      <c r="A271" t="s">
        <v>372</v>
      </c>
      <c r="B271" t="s">
        <v>31</v>
      </c>
      <c r="C271" s="3">
        <v>45672</v>
      </c>
      <c r="D271" t="s">
        <v>57</v>
      </c>
      <c r="E271" t="s">
        <v>65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66</v>
      </c>
      <c r="M271" t="s">
        <v>15</v>
      </c>
      <c r="N271" t="str">
        <f>IF(M271="","No Campaign",
   IF(AND(C271&gt;=VLOOKUP(M271,Cleaned_Campaign_Data!B:D,2,FALSE),
          C271&lt;=VLOOKUP(M271,Cleaned_Campaign_Data!B:D,3,FALSE)),
      "During","Before"))</f>
        <v>Before</v>
      </c>
    </row>
    <row r="272" spans="1:14" x14ac:dyDescent="0.3">
      <c r="A272" t="s">
        <v>373</v>
      </c>
      <c r="B272" t="s">
        <v>29</v>
      </c>
      <c r="C272" s="3">
        <v>45582</v>
      </c>
      <c r="D272" t="s">
        <v>93</v>
      </c>
      <c r="E272" t="s">
        <v>100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70</v>
      </c>
      <c r="M272" t="s">
        <v>11</v>
      </c>
      <c r="N272" t="str">
        <f>IF(M272="","No Campaign",
   IF(AND(C272&gt;=VLOOKUP(M272,Cleaned_Campaign_Data!B:D,2,FALSE),
          C272&lt;=VLOOKUP(M272,Cleaned_Campaign_Data!B:D,3,FALSE)),
      "During","Before"))</f>
        <v>During</v>
      </c>
    </row>
    <row r="273" spans="1:14" x14ac:dyDescent="0.3">
      <c r="A273" t="s">
        <v>374</v>
      </c>
      <c r="B273" t="s">
        <v>29</v>
      </c>
      <c r="C273" s="3">
        <v>45743</v>
      </c>
      <c r="D273" t="s">
        <v>61</v>
      </c>
      <c r="E273" t="s">
        <v>116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66</v>
      </c>
      <c r="M273" t="s">
        <v>15</v>
      </c>
      <c r="N273" t="str">
        <f>IF(M273="","No Campaign",
   IF(AND(C273&gt;=VLOOKUP(M273,Cleaned_Campaign_Data!B:D,2,FALSE),
          C273&lt;=VLOOKUP(M273,Cleaned_Campaign_Data!B:D,3,FALSE)),
      "During","Before"))</f>
        <v>Before</v>
      </c>
    </row>
    <row r="274" spans="1:14" x14ac:dyDescent="0.3">
      <c r="A274" t="s">
        <v>375</v>
      </c>
      <c r="B274" t="s">
        <v>31</v>
      </c>
      <c r="C274" s="3">
        <v>45577</v>
      </c>
      <c r="D274" t="s">
        <v>68</v>
      </c>
      <c r="E274" t="s">
        <v>139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70</v>
      </c>
      <c r="M274" t="s">
        <v>19</v>
      </c>
      <c r="N274" t="str">
        <f>IF(M274="","No Campaign",
   IF(AND(C274&gt;=VLOOKUP(M274,Cleaned_Campaign_Data!B:D,2,FALSE),
          C274&lt;=VLOOKUP(M274,Cleaned_Campaign_Data!B:D,3,FALSE)),
      "During","Before"))</f>
        <v>Before</v>
      </c>
    </row>
    <row r="275" spans="1:14" x14ac:dyDescent="0.3">
      <c r="A275" t="s">
        <v>376</v>
      </c>
      <c r="B275" t="s">
        <v>32</v>
      </c>
      <c r="C275" s="3">
        <v>45658</v>
      </c>
      <c r="D275" t="s">
        <v>73</v>
      </c>
      <c r="E275" t="s">
        <v>76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66</v>
      </c>
      <c r="M275" t="s">
        <v>19</v>
      </c>
      <c r="N275" t="str">
        <f>IF(M275="","No Campaign",
   IF(AND(C275&gt;=VLOOKUP(M275,Cleaned_Campaign_Data!B:D,2,FALSE),
          C275&lt;=VLOOKUP(M275,Cleaned_Campaign_Data!B:D,3,FALSE)),
      "During","Before"))</f>
        <v>Before</v>
      </c>
    </row>
    <row r="276" spans="1:14" x14ac:dyDescent="0.3">
      <c r="A276" t="s">
        <v>377</v>
      </c>
      <c r="B276" t="s">
        <v>30</v>
      </c>
      <c r="C276" s="3">
        <v>45509</v>
      </c>
      <c r="D276" t="s">
        <v>57</v>
      </c>
      <c r="E276" t="s">
        <v>87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70</v>
      </c>
      <c r="M276" t="s">
        <v>15</v>
      </c>
      <c r="N276" t="str">
        <f>IF(M276="","No Campaign",
   IF(AND(C276&gt;=VLOOKUP(M276,Cleaned_Campaign_Data!B:D,2,FALSE),
          C276&lt;=VLOOKUP(M276,Cleaned_Campaign_Data!B:D,3,FALSE)),
      "During","Before"))</f>
        <v>Before</v>
      </c>
    </row>
    <row r="277" spans="1:14" x14ac:dyDescent="0.3">
      <c r="A277" t="s">
        <v>378</v>
      </c>
      <c r="B277" t="s">
        <v>32</v>
      </c>
      <c r="C277" s="3">
        <v>45450</v>
      </c>
      <c r="D277" t="s">
        <v>73</v>
      </c>
      <c r="E277" t="s">
        <v>76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66</v>
      </c>
      <c r="M277" t="s">
        <v>11</v>
      </c>
      <c r="N277" t="str">
        <f>IF(M277="","No Campaign",
   IF(AND(C277&gt;=VLOOKUP(M277,Cleaned_Campaign_Data!B:D,2,FALSE),
          C277&lt;=VLOOKUP(M277,Cleaned_Campaign_Data!B:D,3,FALSE)),
      "During","Before"))</f>
        <v>Before</v>
      </c>
    </row>
    <row r="278" spans="1:14" x14ac:dyDescent="0.3">
      <c r="A278" t="s">
        <v>379</v>
      </c>
      <c r="B278" t="s">
        <v>30</v>
      </c>
      <c r="C278" s="3">
        <v>45753</v>
      </c>
      <c r="D278" t="s">
        <v>78</v>
      </c>
      <c r="E278" t="s">
        <v>83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85</v>
      </c>
      <c r="M278" t="s">
        <v>7</v>
      </c>
      <c r="N278" t="str">
        <f>IF(M278="","No Campaign",
   IF(AND(C278&gt;=VLOOKUP(M278,Cleaned_Campaign_Data!B:D,2,FALSE),
          C278&lt;=VLOOKUP(M278,Cleaned_Campaign_Data!B:D,3,FALSE)),
      "During","Before"))</f>
        <v>Before</v>
      </c>
    </row>
    <row r="279" spans="1:14" x14ac:dyDescent="0.3">
      <c r="A279" t="s">
        <v>380</v>
      </c>
      <c r="B279" t="s">
        <v>32</v>
      </c>
      <c r="C279" s="3">
        <v>45622</v>
      </c>
      <c r="D279" t="s">
        <v>61</v>
      </c>
      <c r="E279" t="s">
        <v>62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70</v>
      </c>
      <c r="M279" t="s">
        <v>19</v>
      </c>
      <c r="N279" t="str">
        <f>IF(M279="","No Campaign",
   IF(AND(C279&gt;=VLOOKUP(M279,Cleaned_Campaign_Data!B:D,2,FALSE),
          C279&lt;=VLOOKUP(M279,Cleaned_Campaign_Data!B:D,3,FALSE)),
      "During","Before"))</f>
        <v>Before</v>
      </c>
    </row>
    <row r="280" spans="1:14" x14ac:dyDescent="0.3">
      <c r="A280" t="s">
        <v>381</v>
      </c>
      <c r="B280" t="s">
        <v>31</v>
      </c>
      <c r="C280" s="3">
        <v>45537</v>
      </c>
      <c r="D280" t="s">
        <v>78</v>
      </c>
      <c r="E280" t="s">
        <v>79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66</v>
      </c>
      <c r="M280" t="s">
        <v>11</v>
      </c>
      <c r="N280" t="str">
        <f>IF(M280="","No Campaign",
   IF(AND(C280&gt;=VLOOKUP(M280,Cleaned_Campaign_Data!B:D,2,FALSE),
          C280&lt;=VLOOKUP(M280,Cleaned_Campaign_Data!B:D,3,FALSE)),
      "During","Before"))</f>
        <v>Before</v>
      </c>
    </row>
    <row r="281" spans="1:14" x14ac:dyDescent="0.3">
      <c r="A281" t="s">
        <v>382</v>
      </c>
      <c r="B281" t="s">
        <v>31</v>
      </c>
      <c r="C281" s="3">
        <v>45586</v>
      </c>
      <c r="D281" t="s">
        <v>93</v>
      </c>
      <c r="E281" t="s">
        <v>177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151</v>
      </c>
      <c r="M281" t="s">
        <v>19</v>
      </c>
      <c r="N281" t="str">
        <f>IF(M281="","No Campaign",
   IF(AND(C281&gt;=VLOOKUP(M281,Cleaned_Campaign_Data!B:D,2,FALSE),
          C281&lt;=VLOOKUP(M281,Cleaned_Campaign_Data!B:D,3,FALSE)),
      "During","Before"))</f>
        <v>Before</v>
      </c>
    </row>
    <row r="282" spans="1:14" x14ac:dyDescent="0.3">
      <c r="A282" t="s">
        <v>383</v>
      </c>
      <c r="B282" t="s">
        <v>31</v>
      </c>
      <c r="C282" s="3">
        <v>45738</v>
      </c>
      <c r="D282" t="s">
        <v>78</v>
      </c>
      <c r="E282" t="s">
        <v>79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70</v>
      </c>
      <c r="M282" t="s">
        <v>11</v>
      </c>
      <c r="N282" t="str">
        <f>IF(M282="","No Campaign",
   IF(AND(C282&gt;=VLOOKUP(M282,Cleaned_Campaign_Data!B:D,2,FALSE),
          C282&lt;=VLOOKUP(M282,Cleaned_Campaign_Data!B:D,3,FALSE)),
      "During","Before"))</f>
        <v>Before</v>
      </c>
    </row>
    <row r="283" spans="1:14" x14ac:dyDescent="0.3">
      <c r="A283" t="s">
        <v>384</v>
      </c>
      <c r="B283" t="s">
        <v>29</v>
      </c>
      <c r="C283" s="3">
        <v>45568</v>
      </c>
      <c r="D283" t="s">
        <v>93</v>
      </c>
      <c r="E283" t="s">
        <v>100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85</v>
      </c>
      <c r="M283" t="s">
        <v>15</v>
      </c>
      <c r="N283" t="str">
        <f>IF(M283="","No Campaign",
   IF(AND(C283&gt;=VLOOKUP(M283,Cleaned_Campaign_Data!B:D,2,FALSE),
          C283&lt;=VLOOKUP(M283,Cleaned_Campaign_Data!B:D,3,FALSE)),
      "During","Before"))</f>
        <v>Before</v>
      </c>
    </row>
    <row r="284" spans="1:14" x14ac:dyDescent="0.3">
      <c r="A284" t="s">
        <v>385</v>
      </c>
      <c r="B284" t="s">
        <v>32</v>
      </c>
      <c r="C284" s="3">
        <v>45786</v>
      </c>
      <c r="D284" t="s">
        <v>57</v>
      </c>
      <c r="E284" t="s">
        <v>58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85</v>
      </c>
      <c r="M284" t="s">
        <v>11</v>
      </c>
      <c r="N284" t="str">
        <f>IF(M284="","No Campaign",
   IF(AND(C284&gt;=VLOOKUP(M284,Cleaned_Campaign_Data!B:D,2,FALSE),
          C284&lt;=VLOOKUP(M284,Cleaned_Campaign_Data!B:D,3,FALSE)),
      "During","Before"))</f>
        <v>Before</v>
      </c>
    </row>
    <row r="285" spans="1:14" x14ac:dyDescent="0.3">
      <c r="A285" t="s">
        <v>386</v>
      </c>
      <c r="B285" t="s">
        <v>32</v>
      </c>
      <c r="C285" s="3">
        <v>45552</v>
      </c>
      <c r="D285" t="s">
        <v>61</v>
      </c>
      <c r="E285" t="s">
        <v>62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66</v>
      </c>
      <c r="M285" t="s">
        <v>19</v>
      </c>
      <c r="N285" t="str">
        <f>IF(M285="","No Campaign",
   IF(AND(C285&gt;=VLOOKUP(M285,Cleaned_Campaign_Data!B:D,2,FALSE),
          C285&lt;=VLOOKUP(M285,Cleaned_Campaign_Data!B:D,3,FALSE)),
      "During","Before"))</f>
        <v>Before</v>
      </c>
    </row>
    <row r="286" spans="1:14" x14ac:dyDescent="0.3">
      <c r="A286" t="s">
        <v>387</v>
      </c>
      <c r="B286" t="s">
        <v>31</v>
      </c>
      <c r="C286" s="3">
        <v>45491</v>
      </c>
      <c r="D286" t="s">
        <v>61</v>
      </c>
      <c r="E286" t="s">
        <v>111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70</v>
      </c>
      <c r="N286" t="str">
        <f>IF(M286="","No Campaign",
   IF(AND(C286&gt;=VLOOKUP(M286,Cleaned_Campaign_Data!B:D,2,FALSE),
          C286&lt;=VLOOKUP(M286,Cleaned_Campaign_Data!B:D,3,FALSE)),
      "During","Before"))</f>
        <v>No Campaign</v>
      </c>
    </row>
    <row r="287" spans="1:14" x14ac:dyDescent="0.3">
      <c r="A287" t="s">
        <v>388</v>
      </c>
      <c r="B287" t="s">
        <v>31</v>
      </c>
      <c r="C287" s="3">
        <v>45560</v>
      </c>
      <c r="D287" t="s">
        <v>93</v>
      </c>
      <c r="E287" t="s">
        <v>177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85</v>
      </c>
      <c r="M287" t="s">
        <v>15</v>
      </c>
      <c r="N287" t="str">
        <f>IF(M287="","No Campaign",
   IF(AND(C287&gt;=VLOOKUP(M287,Cleaned_Campaign_Data!B:D,2,FALSE),
          C287&lt;=VLOOKUP(M287,Cleaned_Campaign_Data!B:D,3,FALSE)),
      "During","Before"))</f>
        <v>Before</v>
      </c>
    </row>
    <row r="288" spans="1:14" x14ac:dyDescent="0.3">
      <c r="A288" t="s">
        <v>389</v>
      </c>
      <c r="B288" t="s">
        <v>29</v>
      </c>
      <c r="C288" s="3">
        <v>45519</v>
      </c>
      <c r="D288" t="s">
        <v>57</v>
      </c>
      <c r="E288" t="s">
        <v>98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70</v>
      </c>
      <c r="M288" t="s">
        <v>7</v>
      </c>
      <c r="N288" t="str">
        <f>IF(M288="","No Campaign",
   IF(AND(C288&gt;=VLOOKUP(M288,Cleaned_Campaign_Data!B:D,2,FALSE),
          C288&lt;=VLOOKUP(M288,Cleaned_Campaign_Data!B:D,3,FALSE)),
      "During","Before"))</f>
        <v>Before</v>
      </c>
    </row>
    <row r="289" spans="1:14" x14ac:dyDescent="0.3">
      <c r="A289" t="s">
        <v>390</v>
      </c>
      <c r="B289" t="s">
        <v>31</v>
      </c>
      <c r="C289" s="3">
        <v>45764</v>
      </c>
      <c r="D289" t="s">
        <v>73</v>
      </c>
      <c r="E289" t="s">
        <v>89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85</v>
      </c>
      <c r="M289" t="s">
        <v>15</v>
      </c>
      <c r="N289" t="str">
        <f>IF(M289="","No Campaign",
   IF(AND(C289&gt;=VLOOKUP(M289,Cleaned_Campaign_Data!B:D,2,FALSE),
          C289&lt;=VLOOKUP(M289,Cleaned_Campaign_Data!B:D,3,FALSE)),
      "During","Before"))</f>
        <v>Before</v>
      </c>
    </row>
    <row r="290" spans="1:14" x14ac:dyDescent="0.3">
      <c r="A290" t="s">
        <v>391</v>
      </c>
      <c r="B290" t="s">
        <v>30</v>
      </c>
      <c r="C290" s="3">
        <v>45624</v>
      </c>
      <c r="D290" t="s">
        <v>73</v>
      </c>
      <c r="E290" t="s">
        <v>74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85</v>
      </c>
      <c r="N290" t="str">
        <f>IF(M290="","No Campaign",
   IF(AND(C290&gt;=VLOOKUP(M290,Cleaned_Campaign_Data!B:D,2,FALSE),
          C290&lt;=VLOOKUP(M290,Cleaned_Campaign_Data!B:D,3,FALSE)),
      "During","Before"))</f>
        <v>No Campaign</v>
      </c>
    </row>
    <row r="291" spans="1:14" x14ac:dyDescent="0.3">
      <c r="A291" t="s">
        <v>392</v>
      </c>
      <c r="B291" t="s">
        <v>29</v>
      </c>
      <c r="C291" s="3">
        <v>45646</v>
      </c>
      <c r="D291" t="s">
        <v>73</v>
      </c>
      <c r="E291" t="s">
        <v>102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70</v>
      </c>
      <c r="M291" t="s">
        <v>19</v>
      </c>
      <c r="N291" t="str">
        <f>IF(M291="","No Campaign",
   IF(AND(C291&gt;=VLOOKUP(M291,Cleaned_Campaign_Data!B:D,2,FALSE),
          C291&lt;=VLOOKUP(M291,Cleaned_Campaign_Data!B:D,3,FALSE)),
      "During","Before"))</f>
        <v>Before</v>
      </c>
    </row>
    <row r="292" spans="1:14" x14ac:dyDescent="0.3">
      <c r="A292" t="s">
        <v>393</v>
      </c>
      <c r="B292" t="s">
        <v>30</v>
      </c>
      <c r="C292" s="3">
        <v>45602</v>
      </c>
      <c r="D292" t="s">
        <v>93</v>
      </c>
      <c r="E292" t="s">
        <v>94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70</v>
      </c>
      <c r="M292" t="s">
        <v>19</v>
      </c>
      <c r="N292" t="str">
        <f>IF(M292="","No Campaign",
   IF(AND(C292&gt;=VLOOKUP(M292,Cleaned_Campaign_Data!B:D,2,FALSE),
          C292&lt;=VLOOKUP(M292,Cleaned_Campaign_Data!B:D,3,FALSE)),
      "During","Before"))</f>
        <v>Before</v>
      </c>
    </row>
    <row r="293" spans="1:14" x14ac:dyDescent="0.3">
      <c r="A293" t="s">
        <v>394</v>
      </c>
      <c r="B293" t="s">
        <v>30</v>
      </c>
      <c r="C293" s="3">
        <v>45613</v>
      </c>
      <c r="D293" t="s">
        <v>61</v>
      </c>
      <c r="E293" t="s">
        <v>81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106</v>
      </c>
      <c r="N293" t="str">
        <f>IF(M293="","No Campaign",
   IF(AND(C293&gt;=VLOOKUP(M293,Cleaned_Campaign_Data!B:D,2,FALSE),
          C293&lt;=VLOOKUP(M293,Cleaned_Campaign_Data!B:D,3,FALSE)),
      "During","Before"))</f>
        <v>No Campaign</v>
      </c>
    </row>
    <row r="294" spans="1:14" x14ac:dyDescent="0.3">
      <c r="A294" t="s">
        <v>395</v>
      </c>
      <c r="B294" t="s">
        <v>30</v>
      </c>
      <c r="C294" s="3">
        <v>45791</v>
      </c>
      <c r="D294" t="s">
        <v>61</v>
      </c>
      <c r="E294" t="s">
        <v>81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70</v>
      </c>
      <c r="M294" t="s">
        <v>7</v>
      </c>
      <c r="N294" t="str">
        <f>IF(M294="","No Campaign",
   IF(AND(C294&gt;=VLOOKUP(M294,Cleaned_Campaign_Data!B:D,2,FALSE),
          C294&lt;=VLOOKUP(M294,Cleaned_Campaign_Data!B:D,3,FALSE)),
      "During","Before"))</f>
        <v>Before</v>
      </c>
    </row>
    <row r="295" spans="1:14" x14ac:dyDescent="0.3">
      <c r="A295" t="s">
        <v>396</v>
      </c>
      <c r="B295" t="s">
        <v>30</v>
      </c>
      <c r="C295" s="3">
        <v>45462</v>
      </c>
      <c r="D295" t="s">
        <v>73</v>
      </c>
      <c r="E295" t="s">
        <v>74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70</v>
      </c>
      <c r="M295" t="s">
        <v>15</v>
      </c>
      <c r="N295" t="str">
        <f>IF(M295="","No Campaign",
   IF(AND(C295&gt;=VLOOKUP(M295,Cleaned_Campaign_Data!B:D,2,FALSE),
          C295&lt;=VLOOKUP(M295,Cleaned_Campaign_Data!B:D,3,FALSE)),
      "During","Before"))</f>
        <v>Before</v>
      </c>
    </row>
    <row r="296" spans="1:14" x14ac:dyDescent="0.3">
      <c r="A296" t="s">
        <v>397</v>
      </c>
      <c r="B296" t="s">
        <v>32</v>
      </c>
      <c r="C296" s="3">
        <v>45783</v>
      </c>
      <c r="D296" t="s">
        <v>78</v>
      </c>
      <c r="E296" t="s">
        <v>126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175</v>
      </c>
      <c r="M296" t="s">
        <v>11</v>
      </c>
      <c r="N296" t="str">
        <f>IF(M296="","No Campaign",
   IF(AND(C296&gt;=VLOOKUP(M296,Cleaned_Campaign_Data!B:D,2,FALSE),
          C296&lt;=VLOOKUP(M296,Cleaned_Campaign_Data!B:D,3,FALSE)),
      "During","Before"))</f>
        <v>Before</v>
      </c>
    </row>
    <row r="297" spans="1:14" x14ac:dyDescent="0.3">
      <c r="A297" t="s">
        <v>398</v>
      </c>
      <c r="B297" t="s">
        <v>32</v>
      </c>
      <c r="C297" s="3">
        <v>45699</v>
      </c>
      <c r="D297" t="s">
        <v>93</v>
      </c>
      <c r="E297" t="s">
        <v>133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302</v>
      </c>
      <c r="M297" t="s">
        <v>19</v>
      </c>
      <c r="N297" t="str">
        <f>IF(M297="","No Campaign",
   IF(AND(C297&gt;=VLOOKUP(M297,Cleaned_Campaign_Data!B:D,2,FALSE),
          C297&lt;=VLOOKUP(M297,Cleaned_Campaign_Data!B:D,3,FALSE)),
      "During","Before"))</f>
        <v>Before</v>
      </c>
    </row>
    <row r="298" spans="1:14" x14ac:dyDescent="0.3">
      <c r="A298" t="s">
        <v>399</v>
      </c>
      <c r="B298" t="s">
        <v>32</v>
      </c>
      <c r="C298" s="3">
        <v>45650</v>
      </c>
      <c r="D298" t="s">
        <v>61</v>
      </c>
      <c r="E298" t="s">
        <v>62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70</v>
      </c>
      <c r="M298" t="s">
        <v>19</v>
      </c>
      <c r="N298" t="str">
        <f>IF(M298="","No Campaign",
   IF(AND(C298&gt;=VLOOKUP(M298,Cleaned_Campaign_Data!B:D,2,FALSE),
          C298&lt;=VLOOKUP(M298,Cleaned_Campaign_Data!B:D,3,FALSE)),
      "During","Before"))</f>
        <v>Before</v>
      </c>
    </row>
    <row r="299" spans="1:14" x14ac:dyDescent="0.3">
      <c r="A299" t="s">
        <v>400</v>
      </c>
      <c r="B299" t="s">
        <v>30</v>
      </c>
      <c r="C299" s="3">
        <v>45589</v>
      </c>
      <c r="D299" t="s">
        <v>78</v>
      </c>
      <c r="E299" t="s">
        <v>83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66</v>
      </c>
      <c r="M299" t="s">
        <v>15</v>
      </c>
      <c r="N299" t="str">
        <f>IF(M299="","No Campaign",
   IF(AND(C299&gt;=VLOOKUP(M299,Cleaned_Campaign_Data!B:D,2,FALSE),
          C299&lt;=VLOOKUP(M299,Cleaned_Campaign_Data!B:D,3,FALSE)),
      "During","Before"))</f>
        <v>Before</v>
      </c>
    </row>
    <row r="300" spans="1:14" x14ac:dyDescent="0.3">
      <c r="A300" t="s">
        <v>401</v>
      </c>
      <c r="B300" t="s">
        <v>30</v>
      </c>
      <c r="C300" s="3">
        <v>45530</v>
      </c>
      <c r="D300" t="s">
        <v>78</v>
      </c>
      <c r="E300" t="s">
        <v>83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85</v>
      </c>
      <c r="M300" t="s">
        <v>15</v>
      </c>
      <c r="N300" t="str">
        <f>IF(M300="","No Campaign",
   IF(AND(C300&gt;=VLOOKUP(M300,Cleaned_Campaign_Data!B:D,2,FALSE),
          C300&lt;=VLOOKUP(M300,Cleaned_Campaign_Data!B:D,3,FALSE)),
      "During","Before"))</f>
        <v>Before</v>
      </c>
    </row>
    <row r="301" spans="1:14" x14ac:dyDescent="0.3">
      <c r="A301" t="s">
        <v>402</v>
      </c>
      <c r="B301" t="s">
        <v>32</v>
      </c>
      <c r="C301" s="3">
        <v>45535</v>
      </c>
      <c r="D301" t="s">
        <v>73</v>
      </c>
      <c r="E301" t="s">
        <v>76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362</v>
      </c>
      <c r="M301" t="s">
        <v>7</v>
      </c>
      <c r="N301" t="str">
        <f>IF(M301="","No Campaign",
   IF(AND(C301&gt;=VLOOKUP(M301,Cleaned_Campaign_Data!B:D,2,FALSE),
          C301&lt;=VLOOKUP(M301,Cleaned_Campaign_Data!B:D,3,FALSE)),
      "During","Before"))</f>
        <v>Before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1C57-B987-408A-B44E-87C8F9777D2C}">
  <dimension ref="A1:I201"/>
  <sheetViews>
    <sheetView topLeftCell="A2" workbookViewId="0">
      <selection activeCell="I18" sqref="I18"/>
    </sheetView>
  </sheetViews>
  <sheetFormatPr defaultRowHeight="14.4" x14ac:dyDescent="0.3"/>
  <cols>
    <col min="1" max="1" width="17.59765625" customWidth="1"/>
    <col min="2" max="2" width="10.19921875" customWidth="1"/>
    <col min="3" max="3" width="15.59765625" customWidth="1"/>
    <col min="4" max="4" width="11.296875" customWidth="1"/>
    <col min="5" max="5" width="16" customWidth="1"/>
    <col min="6" max="6" width="18.19921875" customWidth="1"/>
    <col min="7" max="7" width="11.59765625" customWidth="1"/>
    <col min="8" max="8" width="21.19921875" customWidth="1"/>
    <col min="9" max="9" width="17.296875" customWidth="1"/>
  </cols>
  <sheetData>
    <row r="1" spans="1:9" ht="29.35" thickBot="1" x14ac:dyDescent="0.35">
      <c r="A1" s="1" t="s">
        <v>417</v>
      </c>
      <c r="B1" s="2" t="s">
        <v>48</v>
      </c>
      <c r="C1" s="2" t="s">
        <v>418</v>
      </c>
      <c r="D1" s="2" t="s">
        <v>419</v>
      </c>
      <c r="E1" s="2" t="s">
        <v>420</v>
      </c>
      <c r="F1" s="2" t="s">
        <v>421</v>
      </c>
      <c r="G1" s="2" t="s">
        <v>28</v>
      </c>
      <c r="H1" t="s">
        <v>422</v>
      </c>
      <c r="I1" t="s">
        <v>0</v>
      </c>
    </row>
    <row r="2" spans="1:9" ht="29.35" thickBot="1" x14ac:dyDescent="0.35">
      <c r="A2" s="15">
        <v>45446</v>
      </c>
      <c r="B2" s="7" t="s">
        <v>29</v>
      </c>
      <c r="C2" s="8">
        <v>1135</v>
      </c>
      <c r="D2" s="8">
        <v>88</v>
      </c>
      <c r="E2" s="8">
        <v>344084</v>
      </c>
      <c r="F2" s="8">
        <v>8.06</v>
      </c>
      <c r="G2" s="8">
        <v>5904</v>
      </c>
      <c r="H2">
        <f xml:space="preserve"> C2 - D2</f>
        <v>1047</v>
      </c>
      <c r="I2" t="str">
        <f t="array" ref="I2">IFERROR(
   INDEX(Cleaned_Campaign_Data!$B:$B,
         MATCH(1,
               (A2&gt;=Cleaned_Campaign_Data!$C:$C)*
               (A2&lt;=Cleaned_Campaign_Data!$D:$D),
               0)
        ),
   "No Campaign"
)</f>
        <v>No Campaign</v>
      </c>
    </row>
    <row r="3" spans="1:9" ht="14.95" thickBot="1" x14ac:dyDescent="0.35">
      <c r="A3" s="15">
        <v>45446</v>
      </c>
      <c r="B3" s="7" t="s">
        <v>30</v>
      </c>
      <c r="C3" s="8">
        <v>1312</v>
      </c>
      <c r="D3" s="8">
        <v>310</v>
      </c>
      <c r="E3" s="8">
        <v>42654</v>
      </c>
      <c r="F3" s="8">
        <v>4.9800000000000004</v>
      </c>
      <c r="G3" s="8">
        <v>9566</v>
      </c>
      <c r="H3">
        <f t="shared" ref="H3:H66" si="0" xml:space="preserve"> C3 - D3</f>
        <v>1002</v>
      </c>
      <c r="I3" t="str">
        <f t="array" ref="I3">IFERROR(
   INDEX(Cleaned_Campaign_Data!$B:$B,
         MATCH(1,
               (A3&gt;=Cleaned_Campaign_Data!$C:$C)*
               (A3&lt;=Cleaned_Campaign_Data!$D:$D),
               0)
        ),
   "No Campaign"
)</f>
        <v>No Campaign</v>
      </c>
    </row>
    <row r="4" spans="1:9" ht="14.95" thickBot="1" x14ac:dyDescent="0.35">
      <c r="A4" s="15">
        <v>45446</v>
      </c>
      <c r="B4" s="7" t="s">
        <v>32</v>
      </c>
      <c r="C4" s="8">
        <v>584</v>
      </c>
      <c r="D4" s="8">
        <v>169</v>
      </c>
      <c r="E4" s="8">
        <v>146834</v>
      </c>
      <c r="F4" s="8">
        <v>8.31</v>
      </c>
      <c r="G4" s="8">
        <v>26752</v>
      </c>
      <c r="H4">
        <f t="shared" si="0"/>
        <v>415</v>
      </c>
      <c r="I4" t="str">
        <f t="array" ref="I4">IFERROR(
   INDEX(Cleaned_Campaign_Data!$B:$B,
         MATCH(1,
               (A4&gt;=Cleaned_Campaign_Data!$C:$C)*
               (A4&lt;=Cleaned_Campaign_Data!$D:$D),
               0)
        ),
   "No Campaign"
)</f>
        <v>No Campaign</v>
      </c>
    </row>
    <row r="5" spans="1:9" ht="14.95" thickBot="1" x14ac:dyDescent="0.35">
      <c r="A5" s="15">
        <v>45446</v>
      </c>
      <c r="B5" s="7" t="s">
        <v>31</v>
      </c>
      <c r="C5" s="8">
        <v>1535</v>
      </c>
      <c r="D5" s="8">
        <v>445</v>
      </c>
      <c r="E5" s="8">
        <v>395536</v>
      </c>
      <c r="F5" s="8">
        <v>4.1100000000000003</v>
      </c>
      <c r="G5" s="8">
        <v>30671</v>
      </c>
      <c r="H5">
        <f t="shared" si="0"/>
        <v>1090</v>
      </c>
      <c r="I5" t="str">
        <f t="array" ref="I5">IFERROR(
   INDEX(Cleaned_Campaign_Data!$B:$B,
         MATCH(1,
               (A5&gt;=Cleaned_Campaign_Data!$C:$C)*
               (A5&lt;=Cleaned_Campaign_Data!$D:$D),
               0)
        ),
   "No Campaign"
)</f>
        <v>No Campaign</v>
      </c>
    </row>
    <row r="6" spans="1:9" ht="29.35" thickBot="1" x14ac:dyDescent="0.35">
      <c r="A6" s="15">
        <v>45453</v>
      </c>
      <c r="B6" s="7" t="s">
        <v>29</v>
      </c>
      <c r="C6" s="8">
        <v>656</v>
      </c>
      <c r="D6" s="8">
        <v>139</v>
      </c>
      <c r="E6" s="8">
        <v>49157</v>
      </c>
      <c r="F6" s="8">
        <v>9.0500000000000007</v>
      </c>
      <c r="G6" s="8">
        <v>9920</v>
      </c>
      <c r="H6">
        <f t="shared" si="0"/>
        <v>517</v>
      </c>
      <c r="I6" t="str">
        <f t="array" ref="I6">IFERROR(
   INDEX(Cleaned_Campaign_Data!$B:$B,
         MATCH(1,
               (A6&gt;=Cleaned_Campaign_Data!$C:$C)*
               (A6&lt;=Cleaned_Campaign_Data!$D:$D),
               0)
        ),
   "No Campaign"
)</f>
        <v>No Campaign</v>
      </c>
    </row>
    <row r="7" spans="1:9" ht="14.95" thickBot="1" x14ac:dyDescent="0.35">
      <c r="A7" s="15">
        <v>45453</v>
      </c>
      <c r="B7" s="7" t="s">
        <v>30</v>
      </c>
      <c r="C7" s="8">
        <v>1697</v>
      </c>
      <c r="D7" s="8">
        <v>414</v>
      </c>
      <c r="E7" s="8">
        <v>316555</v>
      </c>
      <c r="F7" s="8">
        <v>2.37</v>
      </c>
      <c r="G7" s="8">
        <v>7924</v>
      </c>
      <c r="H7">
        <f t="shared" si="0"/>
        <v>1283</v>
      </c>
      <c r="I7" t="str">
        <f t="array" ref="I7">IFERROR(
   INDEX(Cleaned_Campaign_Data!$B:$B,
         MATCH(1,
               (A7&gt;=Cleaned_Campaign_Data!$C:$C)*
               (A7&lt;=Cleaned_Campaign_Data!$D:$D),
               0)
        ),
   "No Campaign"
)</f>
        <v>No Campaign</v>
      </c>
    </row>
    <row r="8" spans="1:9" ht="14.95" thickBot="1" x14ac:dyDescent="0.35">
      <c r="A8" s="15">
        <v>45453</v>
      </c>
      <c r="B8" s="7" t="s">
        <v>32</v>
      </c>
      <c r="C8" s="8">
        <v>436</v>
      </c>
      <c r="D8" s="8">
        <v>250</v>
      </c>
      <c r="E8" s="8">
        <v>254347</v>
      </c>
      <c r="F8" s="8">
        <v>4.01</v>
      </c>
      <c r="G8" s="8">
        <v>8912</v>
      </c>
      <c r="H8">
        <f t="shared" si="0"/>
        <v>186</v>
      </c>
      <c r="I8" t="str">
        <f t="array" ref="I8">IFERROR(
   INDEX(Cleaned_Campaign_Data!$B:$B,
         MATCH(1,
               (A8&gt;=Cleaned_Campaign_Data!$C:$C)*
               (A8&lt;=Cleaned_Campaign_Data!$D:$D),
               0)
        ),
   "No Campaign"
)</f>
        <v>No Campaign</v>
      </c>
    </row>
    <row r="9" spans="1:9" ht="14.95" thickBot="1" x14ac:dyDescent="0.35">
      <c r="A9" s="15">
        <v>45453</v>
      </c>
      <c r="B9" s="7" t="s">
        <v>31</v>
      </c>
      <c r="C9" s="8">
        <v>1197</v>
      </c>
      <c r="D9" s="8">
        <v>203</v>
      </c>
      <c r="E9" s="8">
        <v>413878</v>
      </c>
      <c r="F9" s="8">
        <v>3.16</v>
      </c>
      <c r="G9" s="8">
        <v>21205</v>
      </c>
      <c r="H9">
        <f t="shared" si="0"/>
        <v>994</v>
      </c>
      <c r="I9" t="str">
        <f t="array" ref="I9">IFERROR(
   INDEX(Cleaned_Campaign_Data!$B:$B,
         MATCH(1,
               (A9&gt;=Cleaned_Campaign_Data!$C:$C)*
               (A9&lt;=Cleaned_Campaign_Data!$D:$D),
               0)
        ),
   "No Campaign"
)</f>
        <v>No Campaign</v>
      </c>
    </row>
    <row r="10" spans="1:9" ht="29.35" thickBot="1" x14ac:dyDescent="0.35">
      <c r="A10" s="15">
        <v>45460</v>
      </c>
      <c r="B10" s="7" t="s">
        <v>29</v>
      </c>
      <c r="C10" s="8">
        <v>1048</v>
      </c>
      <c r="D10" s="8">
        <v>155</v>
      </c>
      <c r="E10" s="8">
        <v>456946</v>
      </c>
      <c r="F10" s="8">
        <v>2.46</v>
      </c>
      <c r="G10" s="8">
        <v>11329</v>
      </c>
      <c r="H10">
        <f t="shared" si="0"/>
        <v>893</v>
      </c>
      <c r="I10" t="str">
        <f t="array" ref="I10">IFERROR(
   INDEX(Cleaned_Campaign_Data!$B:$B,
         MATCH(1,
               (A10&gt;=Cleaned_Campaign_Data!$C:$C)*
               (A10&lt;=Cleaned_Campaign_Data!$D:$D),
               0)
        ),
   "No Campaign"
)</f>
        <v>SummerSplash</v>
      </c>
    </row>
    <row r="11" spans="1:9" ht="14.95" thickBot="1" x14ac:dyDescent="0.35">
      <c r="A11" s="15">
        <v>45460</v>
      </c>
      <c r="B11" s="7" t="s">
        <v>30</v>
      </c>
      <c r="C11" s="8">
        <v>1753</v>
      </c>
      <c r="D11" s="8">
        <v>371</v>
      </c>
      <c r="E11" s="8">
        <v>169496</v>
      </c>
      <c r="F11" s="8">
        <v>8.11</v>
      </c>
      <c r="G11" s="8">
        <v>46670</v>
      </c>
      <c r="H11">
        <f t="shared" si="0"/>
        <v>1382</v>
      </c>
      <c r="I11" t="str">
        <f t="array" ref="I11">IFERROR(
   INDEX(Cleaned_Campaign_Data!$B:$B,
         MATCH(1,
               (A11&gt;=Cleaned_Campaign_Data!$C:$C)*
               (A11&lt;=Cleaned_Campaign_Data!$D:$D),
               0)
        ),
   "No Campaign"
)</f>
        <v>SummerSplash</v>
      </c>
    </row>
    <row r="12" spans="1:9" ht="14.95" thickBot="1" x14ac:dyDescent="0.35">
      <c r="A12" s="15">
        <v>45460</v>
      </c>
      <c r="B12" s="7" t="s">
        <v>32</v>
      </c>
      <c r="C12" s="8">
        <v>1335</v>
      </c>
      <c r="D12" s="8">
        <v>40</v>
      </c>
      <c r="E12" s="8">
        <v>122732</v>
      </c>
      <c r="F12" s="8">
        <v>8.19</v>
      </c>
      <c r="G12" s="8">
        <v>22482</v>
      </c>
      <c r="H12">
        <f t="shared" si="0"/>
        <v>1295</v>
      </c>
      <c r="I12" t="str">
        <f t="array" ref="I12">IFERROR(
   INDEX(Cleaned_Campaign_Data!$B:$B,
         MATCH(1,
               (A12&gt;=Cleaned_Campaign_Data!$C:$C)*
               (A12&lt;=Cleaned_Campaign_Data!$D:$D),
               0)
        ),
   "No Campaign"
)</f>
        <v>SummerSplash</v>
      </c>
    </row>
    <row r="13" spans="1:9" ht="14.95" thickBot="1" x14ac:dyDescent="0.35">
      <c r="A13" s="15">
        <v>45460</v>
      </c>
      <c r="B13" s="7" t="s">
        <v>31</v>
      </c>
      <c r="C13" s="8">
        <v>403</v>
      </c>
      <c r="D13" s="8">
        <v>66</v>
      </c>
      <c r="E13" s="8">
        <v>382851</v>
      </c>
      <c r="F13" s="8">
        <v>3.49</v>
      </c>
      <c r="G13" s="8">
        <v>24313</v>
      </c>
      <c r="H13">
        <f t="shared" si="0"/>
        <v>337</v>
      </c>
      <c r="I13" t="str">
        <f t="array" ref="I13">IFERROR(
   INDEX(Cleaned_Campaign_Data!$B:$B,
         MATCH(1,
               (A13&gt;=Cleaned_Campaign_Data!$C:$C)*
               (A13&lt;=Cleaned_Campaign_Data!$D:$D),
               0)
        ),
   "No Campaign"
)</f>
        <v>SummerSplash</v>
      </c>
    </row>
    <row r="14" spans="1:9" ht="29.35" thickBot="1" x14ac:dyDescent="0.35">
      <c r="A14" s="15">
        <v>45467</v>
      </c>
      <c r="B14" s="7" t="s">
        <v>29</v>
      </c>
      <c r="C14" s="8">
        <v>911</v>
      </c>
      <c r="D14" s="8">
        <v>282</v>
      </c>
      <c r="E14" s="8">
        <v>35664</v>
      </c>
      <c r="F14" s="8">
        <v>6.92</v>
      </c>
      <c r="G14" s="8">
        <v>18050</v>
      </c>
      <c r="H14">
        <f t="shared" si="0"/>
        <v>629</v>
      </c>
      <c r="I14" t="str">
        <f t="array" ref="I14">IFERROR(
   INDEX(Cleaned_Campaign_Data!$B:$B,
         MATCH(1,
               (A14&gt;=Cleaned_Campaign_Data!$C:$C)*
               (A14&lt;=Cleaned_Campaign_Data!$D:$D),
               0)
        ),
   "No Campaign"
)</f>
        <v>SummerSplash</v>
      </c>
    </row>
    <row r="15" spans="1:9" ht="14.95" thickBot="1" x14ac:dyDescent="0.35">
      <c r="A15" s="15">
        <v>45467</v>
      </c>
      <c r="B15" s="7" t="s">
        <v>30</v>
      </c>
      <c r="C15" s="8">
        <v>1779</v>
      </c>
      <c r="D15" s="8">
        <v>109</v>
      </c>
      <c r="E15" s="8">
        <v>26295</v>
      </c>
      <c r="F15" s="8">
        <v>9.1199999999999992</v>
      </c>
      <c r="G15" s="8">
        <v>30635</v>
      </c>
      <c r="H15">
        <f t="shared" si="0"/>
        <v>1670</v>
      </c>
      <c r="I15" t="str">
        <f t="array" ref="I15">IFERROR(
   INDEX(Cleaned_Campaign_Data!$B:$B,
         MATCH(1,
               (A15&gt;=Cleaned_Campaign_Data!$C:$C)*
               (A15&lt;=Cleaned_Campaign_Data!$D:$D),
               0)
        ),
   "No Campaign"
)</f>
        <v>SummerSplash</v>
      </c>
    </row>
    <row r="16" spans="1:9" ht="14.95" thickBot="1" x14ac:dyDescent="0.35">
      <c r="A16" s="15">
        <v>45467</v>
      </c>
      <c r="B16" s="7" t="s">
        <v>32</v>
      </c>
      <c r="C16" s="8">
        <v>1238</v>
      </c>
      <c r="D16" s="8">
        <v>403</v>
      </c>
      <c r="E16" s="8">
        <v>298421</v>
      </c>
      <c r="F16" s="8">
        <v>3.5</v>
      </c>
      <c r="G16" s="8">
        <v>31280</v>
      </c>
      <c r="H16">
        <f t="shared" si="0"/>
        <v>835</v>
      </c>
      <c r="I16" t="str">
        <f t="array" ref="I16">IFERROR(
   INDEX(Cleaned_Campaign_Data!$B:$B,
         MATCH(1,
               (A16&gt;=Cleaned_Campaign_Data!$C:$C)*
               (A16&lt;=Cleaned_Campaign_Data!$D:$D),
               0)
        ),
   "No Campaign"
)</f>
        <v>SummerSplash</v>
      </c>
    </row>
    <row r="17" spans="1:9" ht="14.95" thickBot="1" x14ac:dyDescent="0.35">
      <c r="A17" s="15">
        <v>45467</v>
      </c>
      <c r="B17" s="7" t="s">
        <v>31</v>
      </c>
      <c r="C17" s="8">
        <v>308</v>
      </c>
      <c r="D17" s="8">
        <v>431</v>
      </c>
      <c r="E17" s="8">
        <v>426184</v>
      </c>
      <c r="F17" s="8">
        <v>2.62</v>
      </c>
      <c r="G17" s="8">
        <v>1783</v>
      </c>
      <c r="H17">
        <f t="shared" si="0"/>
        <v>-123</v>
      </c>
      <c r="I17" t="str">
        <f t="array" ref="I17">IFERROR(
   INDEX(Cleaned_Campaign_Data!$B:$B,
         MATCH(1,
               (A17&gt;=Cleaned_Campaign_Data!$C:$C)*
               (A17&lt;=Cleaned_Campaign_Data!$D:$D),
               0)
        ),
   "No Campaign"
)</f>
        <v>SummerSplash</v>
      </c>
    </row>
    <row r="18" spans="1:9" ht="29.35" thickBot="1" x14ac:dyDescent="0.35">
      <c r="A18" s="15">
        <v>45474</v>
      </c>
      <c r="B18" s="7" t="s">
        <v>29</v>
      </c>
      <c r="C18" s="8">
        <v>226</v>
      </c>
      <c r="D18" s="8">
        <v>445</v>
      </c>
      <c r="E18" s="8">
        <v>419447</v>
      </c>
      <c r="F18" s="8">
        <v>9.36</v>
      </c>
      <c r="G18" s="8">
        <v>9566</v>
      </c>
      <c r="H18">
        <f t="shared" si="0"/>
        <v>-219</v>
      </c>
      <c r="I18" t="str">
        <f t="array" ref="I18">IFERROR(
   INDEX(Cleaned_Campaign_Data!$B:$B,
         MATCH(1,
               (A18&gt;=Cleaned_Campaign_Data!$C:$C)*
               (A18&lt;=Cleaned_Campaign_Data!$D:$D),
               0)
        ),
   "No Campaign"
)</f>
        <v>SummerSplash</v>
      </c>
    </row>
    <row r="19" spans="1:9" ht="14.95" thickBot="1" x14ac:dyDescent="0.35">
      <c r="A19" s="15">
        <v>45474</v>
      </c>
      <c r="B19" s="7" t="s">
        <v>30</v>
      </c>
      <c r="C19" s="8">
        <v>505</v>
      </c>
      <c r="D19" s="8">
        <v>441</v>
      </c>
      <c r="E19" s="8">
        <v>220020</v>
      </c>
      <c r="F19" s="8">
        <v>4.4800000000000004</v>
      </c>
      <c r="G19" s="8">
        <v>42307</v>
      </c>
      <c r="H19">
        <f t="shared" si="0"/>
        <v>64</v>
      </c>
      <c r="I19" t="str">
        <f t="array" ref="I19">IFERROR(
   INDEX(Cleaned_Campaign_Data!$B:$B,
         MATCH(1,
               (A19&gt;=Cleaned_Campaign_Data!$C:$C)*
               (A19&lt;=Cleaned_Campaign_Data!$D:$D),
               0)
        ),
   "No Campaign"
)</f>
        <v>SummerSplash</v>
      </c>
    </row>
    <row r="20" spans="1:9" ht="14.95" thickBot="1" x14ac:dyDescent="0.35">
      <c r="A20" s="15">
        <v>45474</v>
      </c>
      <c r="B20" s="7" t="s">
        <v>32</v>
      </c>
      <c r="C20" s="8">
        <v>1420</v>
      </c>
      <c r="D20" s="8">
        <v>63</v>
      </c>
      <c r="E20" s="8">
        <v>315305</v>
      </c>
      <c r="F20" s="8">
        <v>6.19</v>
      </c>
      <c r="G20" s="8">
        <v>5914</v>
      </c>
      <c r="H20">
        <f t="shared" si="0"/>
        <v>1357</v>
      </c>
      <c r="I20" t="str">
        <f t="array" ref="I20">IFERROR(
   INDEX(Cleaned_Campaign_Data!$B:$B,
         MATCH(1,
               (A20&gt;=Cleaned_Campaign_Data!$C:$C)*
               (A20&lt;=Cleaned_Campaign_Data!$D:$D),
               0)
        ),
   "No Campaign"
)</f>
        <v>SummerSplash</v>
      </c>
    </row>
    <row r="21" spans="1:9" ht="14.95" thickBot="1" x14ac:dyDescent="0.35">
      <c r="A21" s="15">
        <v>45474</v>
      </c>
      <c r="B21" s="7" t="s">
        <v>31</v>
      </c>
      <c r="C21" s="8">
        <v>144</v>
      </c>
      <c r="D21" s="8">
        <v>53</v>
      </c>
      <c r="E21" s="8">
        <v>113678</v>
      </c>
      <c r="F21" s="8">
        <v>8.7200000000000006</v>
      </c>
      <c r="G21" s="8">
        <v>30060</v>
      </c>
      <c r="H21">
        <f t="shared" si="0"/>
        <v>91</v>
      </c>
      <c r="I21" t="str">
        <f t="array" ref="I21">IFERROR(
   INDEX(Cleaned_Campaign_Data!$B:$B,
         MATCH(1,
               (A21&gt;=Cleaned_Campaign_Data!$C:$C)*
               (A21&lt;=Cleaned_Campaign_Data!$D:$D),
               0)
        ),
   "No Campaign"
)</f>
        <v>SummerSplash</v>
      </c>
    </row>
    <row r="22" spans="1:9" ht="14.95" thickBot="1" x14ac:dyDescent="0.35">
      <c r="A22" s="15">
        <v>45481</v>
      </c>
      <c r="B22" s="7" t="s">
        <v>29</v>
      </c>
      <c r="C22" s="8">
        <v>1757</v>
      </c>
      <c r="D22" s="8">
        <v>85</v>
      </c>
      <c r="E22" s="8">
        <v>58223</v>
      </c>
      <c r="F22" s="8">
        <v>8.74</v>
      </c>
      <c r="G22" s="8">
        <v>22728</v>
      </c>
      <c r="H22">
        <f t="shared" si="0"/>
        <v>1672</v>
      </c>
      <c r="I22" t="str">
        <f t="array" ref="I22">IFERROR(
   INDEX(Cleaned_Campaign_Data!$B:$B,
         MATCH(1,
               (A22&gt;=Cleaned_Campaign_Data!$C:$C)*
               (A22&lt;=Cleaned_Campaign_Data!$D:$D),
               0)
        ),
   "No Campaign"
)</f>
        <v>SummerSplash</v>
      </c>
    </row>
    <row r="23" spans="1:9" ht="14.95" thickBot="1" x14ac:dyDescent="0.35">
      <c r="A23" s="15">
        <v>45481</v>
      </c>
      <c r="B23" s="7" t="s">
        <v>30</v>
      </c>
      <c r="C23" s="8">
        <v>350</v>
      </c>
      <c r="D23" s="8">
        <v>41</v>
      </c>
      <c r="E23" s="8">
        <v>251694</v>
      </c>
      <c r="F23" s="8">
        <v>1.91</v>
      </c>
      <c r="G23" s="8">
        <v>38610</v>
      </c>
      <c r="H23">
        <f t="shared" si="0"/>
        <v>309</v>
      </c>
      <c r="I23" t="str">
        <f t="array" ref="I23">IFERROR(
   INDEX(Cleaned_Campaign_Data!$B:$B,
         MATCH(1,
               (A23&gt;=Cleaned_Campaign_Data!$C:$C)*
               (A23&lt;=Cleaned_Campaign_Data!$D:$D),
               0)
        ),
   "No Campaign"
)</f>
        <v>SummerSplash</v>
      </c>
    </row>
    <row r="24" spans="1:9" ht="14.95" thickBot="1" x14ac:dyDescent="0.35">
      <c r="A24" s="15">
        <v>45481</v>
      </c>
      <c r="B24" s="7" t="s">
        <v>32</v>
      </c>
      <c r="C24" s="8">
        <v>987</v>
      </c>
      <c r="D24" s="8">
        <v>440</v>
      </c>
      <c r="E24" s="8">
        <v>389810</v>
      </c>
      <c r="F24" s="8">
        <v>4.66</v>
      </c>
      <c r="G24" s="8">
        <v>2932</v>
      </c>
      <c r="H24">
        <f t="shared" si="0"/>
        <v>547</v>
      </c>
      <c r="I24" t="str">
        <f t="array" ref="I24">IFERROR(
   INDEX(Cleaned_Campaign_Data!$B:$B,
         MATCH(1,
               (A24&gt;=Cleaned_Campaign_Data!$C:$C)*
               (A24&lt;=Cleaned_Campaign_Data!$D:$D),
               0)
        ),
   "No Campaign"
)</f>
        <v>SummerSplash</v>
      </c>
    </row>
    <row r="25" spans="1:9" ht="14.95" thickBot="1" x14ac:dyDescent="0.35">
      <c r="A25" s="15">
        <v>45481</v>
      </c>
      <c r="B25" s="7" t="s">
        <v>31</v>
      </c>
      <c r="C25" s="8">
        <v>883</v>
      </c>
      <c r="D25" s="8">
        <v>369</v>
      </c>
      <c r="E25" s="8">
        <v>233694</v>
      </c>
      <c r="F25" s="8">
        <v>2.88</v>
      </c>
      <c r="G25" s="8">
        <v>15071</v>
      </c>
      <c r="H25">
        <f t="shared" si="0"/>
        <v>514</v>
      </c>
      <c r="I25" t="str">
        <f t="array" ref="I25">IFERROR(
   INDEX(Cleaned_Campaign_Data!$B:$B,
         MATCH(1,
               (A25&gt;=Cleaned_Campaign_Data!$C:$C)*
               (A25&lt;=Cleaned_Campaign_Data!$D:$D),
               0)
        ),
   "No Campaign"
)</f>
        <v>SummerSplash</v>
      </c>
    </row>
    <row r="26" spans="1:9" ht="14.95" thickBot="1" x14ac:dyDescent="0.35">
      <c r="A26" s="15">
        <v>45488</v>
      </c>
      <c r="B26" s="7" t="s">
        <v>29</v>
      </c>
      <c r="C26" s="8">
        <v>1960</v>
      </c>
      <c r="D26" s="8">
        <v>115</v>
      </c>
      <c r="E26" s="8">
        <v>154169</v>
      </c>
      <c r="F26" s="8">
        <v>3.74</v>
      </c>
      <c r="G26" s="8">
        <v>10740</v>
      </c>
      <c r="H26">
        <f t="shared" si="0"/>
        <v>1845</v>
      </c>
      <c r="I26" t="str">
        <f t="array" ref="I26">IFERROR(
   INDEX(Cleaned_Campaign_Data!$B:$B,
         MATCH(1,
               (A26&gt;=Cleaned_Campaign_Data!$C:$C)*
               (A26&lt;=Cleaned_Campaign_Data!$D:$D),
               0)
        ),
   "No Campaign"
)</f>
        <v>SummerSplash</v>
      </c>
    </row>
    <row r="27" spans="1:9" ht="14.95" thickBot="1" x14ac:dyDescent="0.35">
      <c r="A27" s="15">
        <v>45488</v>
      </c>
      <c r="B27" s="7" t="s">
        <v>30</v>
      </c>
      <c r="C27" s="8">
        <v>170</v>
      </c>
      <c r="D27" s="8">
        <v>334</v>
      </c>
      <c r="E27" s="8">
        <v>334626</v>
      </c>
      <c r="F27" s="8">
        <v>6.44</v>
      </c>
      <c r="G27" s="8">
        <v>43420</v>
      </c>
      <c r="H27">
        <f t="shared" si="0"/>
        <v>-164</v>
      </c>
      <c r="I27" t="str">
        <f t="array" ref="I27">IFERROR(
   INDEX(Cleaned_Campaign_Data!$B:$B,
         MATCH(1,
               (A27&gt;=Cleaned_Campaign_Data!$C:$C)*
               (A27&lt;=Cleaned_Campaign_Data!$D:$D),
               0)
        ),
   "No Campaign"
)</f>
        <v>SummerSplash</v>
      </c>
    </row>
    <row r="28" spans="1:9" ht="14.95" thickBot="1" x14ac:dyDescent="0.35">
      <c r="A28" s="15">
        <v>45488</v>
      </c>
      <c r="B28" s="7" t="s">
        <v>32</v>
      </c>
      <c r="C28" s="8">
        <v>704</v>
      </c>
      <c r="D28" s="8">
        <v>275</v>
      </c>
      <c r="E28" s="8">
        <v>226002</v>
      </c>
      <c r="F28" s="8">
        <v>8.56</v>
      </c>
      <c r="G28" s="8">
        <v>32393</v>
      </c>
      <c r="H28">
        <f t="shared" si="0"/>
        <v>429</v>
      </c>
      <c r="I28" t="str">
        <f t="array" ref="I28">IFERROR(
   INDEX(Cleaned_Campaign_Data!$B:$B,
         MATCH(1,
               (A28&gt;=Cleaned_Campaign_Data!$C:$C)*
               (A28&lt;=Cleaned_Campaign_Data!$D:$D),
               0)
        ),
   "No Campaign"
)</f>
        <v>SummerSplash</v>
      </c>
    </row>
    <row r="29" spans="1:9" ht="14.95" thickBot="1" x14ac:dyDescent="0.35">
      <c r="A29" s="15">
        <v>45488</v>
      </c>
      <c r="B29" s="7" t="s">
        <v>31</v>
      </c>
      <c r="C29" s="8">
        <v>224</v>
      </c>
      <c r="D29" s="8">
        <v>64</v>
      </c>
      <c r="E29" s="8">
        <v>156683</v>
      </c>
      <c r="F29" s="8">
        <v>4.5599999999999996</v>
      </c>
      <c r="G29" s="8">
        <v>28474</v>
      </c>
      <c r="H29">
        <f t="shared" si="0"/>
        <v>160</v>
      </c>
      <c r="I29" t="str">
        <f t="array" ref="I29">IFERROR(
   INDEX(Cleaned_Campaign_Data!$B:$B,
         MATCH(1,
               (A29&gt;=Cleaned_Campaign_Data!$C:$C)*
               (A29&lt;=Cleaned_Campaign_Data!$D:$D),
               0)
        ),
   "No Campaign"
)</f>
        <v>SummerSplash</v>
      </c>
    </row>
    <row r="30" spans="1:9" ht="14.95" thickBot="1" x14ac:dyDescent="0.35">
      <c r="A30" s="15">
        <v>45495</v>
      </c>
      <c r="B30" s="7" t="s">
        <v>29</v>
      </c>
      <c r="C30" s="8">
        <v>508</v>
      </c>
      <c r="D30" s="8">
        <v>349</v>
      </c>
      <c r="E30" s="8">
        <v>473812</v>
      </c>
      <c r="F30" s="8">
        <v>7.88</v>
      </c>
      <c r="G30" s="8">
        <v>17328</v>
      </c>
      <c r="H30">
        <f t="shared" si="0"/>
        <v>159</v>
      </c>
      <c r="I30" t="str">
        <f t="array" ref="I30">IFERROR(
   INDEX(Cleaned_Campaign_Data!$B:$B,
         MATCH(1,
               (A30&gt;=Cleaned_Campaign_Data!$C:$C)*
               (A30&lt;=Cleaned_Campaign_Data!$D:$D),
               0)
        ),
   "No Campaign"
)</f>
        <v>No Campaign</v>
      </c>
    </row>
    <row r="31" spans="1:9" ht="14.95" thickBot="1" x14ac:dyDescent="0.35">
      <c r="A31" s="15">
        <v>45495</v>
      </c>
      <c r="B31" s="7" t="s">
        <v>30</v>
      </c>
      <c r="C31" s="8">
        <v>1391</v>
      </c>
      <c r="D31" s="8">
        <v>430</v>
      </c>
      <c r="E31" s="8">
        <v>295032</v>
      </c>
      <c r="F31" s="8">
        <v>7.86</v>
      </c>
      <c r="G31" s="8">
        <v>26067</v>
      </c>
      <c r="H31">
        <f t="shared" si="0"/>
        <v>961</v>
      </c>
      <c r="I31" t="str">
        <f t="array" ref="I31">IFERROR(
   INDEX(Cleaned_Campaign_Data!$B:$B,
         MATCH(1,
               (A31&gt;=Cleaned_Campaign_Data!$C:$C)*
               (A31&lt;=Cleaned_Campaign_Data!$D:$D),
               0)
        ),
   "No Campaign"
)</f>
        <v>No Campaign</v>
      </c>
    </row>
    <row r="32" spans="1:9" ht="14.95" thickBot="1" x14ac:dyDescent="0.35">
      <c r="A32" s="15">
        <v>45495</v>
      </c>
      <c r="B32" s="7" t="s">
        <v>32</v>
      </c>
      <c r="C32" s="8">
        <v>1701</v>
      </c>
      <c r="D32" s="8">
        <v>385</v>
      </c>
      <c r="E32" s="8">
        <v>198278</v>
      </c>
      <c r="F32" s="8">
        <v>5.34</v>
      </c>
      <c r="G32" s="8">
        <v>32763</v>
      </c>
      <c r="H32">
        <f t="shared" si="0"/>
        <v>1316</v>
      </c>
      <c r="I32" t="str">
        <f t="array" ref="I32">IFERROR(
   INDEX(Cleaned_Campaign_Data!$B:$B,
         MATCH(1,
               (A32&gt;=Cleaned_Campaign_Data!$C:$C)*
               (A32&lt;=Cleaned_Campaign_Data!$D:$D),
               0)
        ),
   "No Campaign"
)</f>
        <v>No Campaign</v>
      </c>
    </row>
    <row r="33" spans="1:9" ht="14.95" thickBot="1" x14ac:dyDescent="0.35">
      <c r="A33" s="15">
        <v>45495</v>
      </c>
      <c r="B33" s="7" t="s">
        <v>31</v>
      </c>
      <c r="C33" s="8">
        <v>804</v>
      </c>
      <c r="D33" s="8">
        <v>487</v>
      </c>
      <c r="E33" s="8">
        <v>306564</v>
      </c>
      <c r="F33" s="8">
        <v>5.52</v>
      </c>
      <c r="G33" s="8">
        <v>26452</v>
      </c>
      <c r="H33">
        <f t="shared" si="0"/>
        <v>317</v>
      </c>
      <c r="I33" t="str">
        <f t="array" ref="I33">IFERROR(
   INDEX(Cleaned_Campaign_Data!$B:$B,
         MATCH(1,
               (A33&gt;=Cleaned_Campaign_Data!$C:$C)*
               (A33&lt;=Cleaned_Campaign_Data!$D:$D),
               0)
        ),
   "No Campaign"
)</f>
        <v>No Campaign</v>
      </c>
    </row>
    <row r="34" spans="1:9" ht="14.95" thickBot="1" x14ac:dyDescent="0.35">
      <c r="A34" s="15">
        <v>45502</v>
      </c>
      <c r="B34" s="7" t="s">
        <v>29</v>
      </c>
      <c r="C34" s="8">
        <v>653</v>
      </c>
      <c r="D34" s="8">
        <v>112</v>
      </c>
      <c r="E34" s="8">
        <v>23664</v>
      </c>
      <c r="F34" s="8">
        <v>4.05</v>
      </c>
      <c r="G34" s="8">
        <v>15353</v>
      </c>
      <c r="H34">
        <f t="shared" si="0"/>
        <v>541</v>
      </c>
      <c r="I34" t="str">
        <f t="array" ref="I34">IFERROR(
   INDEX(Cleaned_Campaign_Data!$B:$B,
         MATCH(1,
               (A34&gt;=Cleaned_Campaign_Data!$C:$C)*
               (A34&lt;=Cleaned_Campaign_Data!$D:$D),
               0)
        ),
   "No Campaign"
)</f>
        <v>No Campaign</v>
      </c>
    </row>
    <row r="35" spans="1:9" ht="14.95" thickBot="1" x14ac:dyDescent="0.35">
      <c r="A35" s="15">
        <v>45502</v>
      </c>
      <c r="B35" s="7" t="s">
        <v>30</v>
      </c>
      <c r="C35" s="8">
        <v>160</v>
      </c>
      <c r="D35" s="8">
        <v>478</v>
      </c>
      <c r="E35" s="8">
        <v>435034</v>
      </c>
      <c r="F35" s="8">
        <v>7.73</v>
      </c>
      <c r="G35" s="8">
        <v>4839</v>
      </c>
      <c r="H35">
        <f t="shared" si="0"/>
        <v>-318</v>
      </c>
      <c r="I35" t="str">
        <f t="array" ref="I35">IFERROR(
   INDEX(Cleaned_Campaign_Data!$B:$B,
         MATCH(1,
               (A35&gt;=Cleaned_Campaign_Data!$C:$C)*
               (A35&lt;=Cleaned_Campaign_Data!$D:$D),
               0)
        ),
   "No Campaign"
)</f>
        <v>No Campaign</v>
      </c>
    </row>
    <row r="36" spans="1:9" ht="14.95" thickBot="1" x14ac:dyDescent="0.35">
      <c r="A36" s="15">
        <v>45502</v>
      </c>
      <c r="B36" s="7" t="s">
        <v>32</v>
      </c>
      <c r="C36" s="8">
        <v>1756</v>
      </c>
      <c r="D36" s="8">
        <v>261</v>
      </c>
      <c r="E36" s="8">
        <v>287574</v>
      </c>
      <c r="F36" s="8">
        <v>4.3600000000000003</v>
      </c>
      <c r="G36" s="8">
        <v>39272</v>
      </c>
      <c r="H36">
        <f t="shared" si="0"/>
        <v>1495</v>
      </c>
      <c r="I36" t="str">
        <f t="array" ref="I36">IFERROR(
   INDEX(Cleaned_Campaign_Data!$B:$B,
         MATCH(1,
               (A36&gt;=Cleaned_Campaign_Data!$C:$C)*
               (A36&lt;=Cleaned_Campaign_Data!$D:$D),
               0)
        ),
   "No Campaign"
)</f>
        <v>No Campaign</v>
      </c>
    </row>
    <row r="37" spans="1:9" ht="14.95" thickBot="1" x14ac:dyDescent="0.35">
      <c r="A37" s="15">
        <v>45502</v>
      </c>
      <c r="B37" s="7" t="s">
        <v>31</v>
      </c>
      <c r="C37" s="8">
        <v>576</v>
      </c>
      <c r="D37" s="8">
        <v>101</v>
      </c>
      <c r="E37" s="8">
        <v>62499</v>
      </c>
      <c r="F37" s="8">
        <v>3.48</v>
      </c>
      <c r="G37" s="8">
        <v>16804</v>
      </c>
      <c r="H37">
        <f t="shared" si="0"/>
        <v>475</v>
      </c>
      <c r="I37" t="str">
        <f t="array" ref="I37">IFERROR(
   INDEX(Cleaned_Campaign_Data!$B:$B,
         MATCH(1,
               (A37&gt;=Cleaned_Campaign_Data!$C:$C)*
               (A37&lt;=Cleaned_Campaign_Data!$D:$D),
               0)
        ),
   "No Campaign"
)</f>
        <v>No Campaign</v>
      </c>
    </row>
    <row r="38" spans="1:9" ht="14.95" thickBot="1" x14ac:dyDescent="0.35">
      <c r="A38" s="15">
        <v>45509</v>
      </c>
      <c r="B38" s="7" t="s">
        <v>29</v>
      </c>
      <c r="C38" s="8">
        <v>645</v>
      </c>
      <c r="D38" s="8">
        <v>293</v>
      </c>
      <c r="E38" s="8">
        <v>437968</v>
      </c>
      <c r="F38" s="8">
        <v>7.83</v>
      </c>
      <c r="G38" s="8">
        <v>49303</v>
      </c>
      <c r="H38">
        <f t="shared" si="0"/>
        <v>352</v>
      </c>
      <c r="I38" t="str">
        <f t="array" ref="I38">IFERROR(
   INDEX(Cleaned_Campaign_Data!$B:$B,
         MATCH(1,
               (A38&gt;=Cleaned_Campaign_Data!$C:$C)*
               (A38&lt;=Cleaned_Campaign_Data!$D:$D),
               0)
        ),
   "No Campaign"
)</f>
        <v>No Campaign</v>
      </c>
    </row>
    <row r="39" spans="1:9" ht="14.95" thickBot="1" x14ac:dyDescent="0.35">
      <c r="A39" s="15">
        <v>45509</v>
      </c>
      <c r="B39" s="7" t="s">
        <v>30</v>
      </c>
      <c r="C39" s="8">
        <v>214</v>
      </c>
      <c r="D39" s="8">
        <v>411</v>
      </c>
      <c r="E39" s="8">
        <v>125034</v>
      </c>
      <c r="F39" s="8">
        <v>6.11</v>
      </c>
      <c r="G39" s="8">
        <v>26455</v>
      </c>
      <c r="H39">
        <f t="shared" si="0"/>
        <v>-197</v>
      </c>
      <c r="I39" t="str">
        <f t="array" ref="I39">IFERROR(
   INDEX(Cleaned_Campaign_Data!$B:$B,
         MATCH(1,
               (A39&gt;=Cleaned_Campaign_Data!$C:$C)*
               (A39&lt;=Cleaned_Campaign_Data!$D:$D),
               0)
        ),
   "No Campaign"
)</f>
        <v>No Campaign</v>
      </c>
    </row>
    <row r="40" spans="1:9" ht="14.95" thickBot="1" x14ac:dyDescent="0.35">
      <c r="A40" s="15">
        <v>45509</v>
      </c>
      <c r="B40" s="7" t="s">
        <v>32</v>
      </c>
      <c r="C40" s="8">
        <v>826</v>
      </c>
      <c r="D40" s="8">
        <v>498</v>
      </c>
      <c r="E40" s="8">
        <v>449994</v>
      </c>
      <c r="F40" s="8">
        <v>9.43</v>
      </c>
      <c r="G40" s="8">
        <v>12384</v>
      </c>
      <c r="H40">
        <f t="shared" si="0"/>
        <v>328</v>
      </c>
      <c r="I40" t="str">
        <f t="array" ref="I40">IFERROR(
   INDEX(Cleaned_Campaign_Data!$B:$B,
         MATCH(1,
               (A40&gt;=Cleaned_Campaign_Data!$C:$C)*
               (A40&lt;=Cleaned_Campaign_Data!$D:$D),
               0)
        ),
   "No Campaign"
)</f>
        <v>No Campaign</v>
      </c>
    </row>
    <row r="41" spans="1:9" ht="14.95" thickBot="1" x14ac:dyDescent="0.35">
      <c r="A41" s="15">
        <v>45509</v>
      </c>
      <c r="B41" s="7" t="s">
        <v>31</v>
      </c>
      <c r="C41" s="8">
        <v>460</v>
      </c>
      <c r="D41" s="8">
        <v>141</v>
      </c>
      <c r="E41" s="8">
        <v>320650</v>
      </c>
      <c r="F41" s="8">
        <v>4.04</v>
      </c>
      <c r="G41" s="8">
        <v>49372</v>
      </c>
      <c r="H41">
        <f t="shared" si="0"/>
        <v>319</v>
      </c>
      <c r="I41" t="str">
        <f t="array" ref="I41">IFERROR(
   INDEX(Cleaned_Campaign_Data!$B:$B,
         MATCH(1,
               (A41&gt;=Cleaned_Campaign_Data!$C:$C)*
               (A41&lt;=Cleaned_Campaign_Data!$D:$D),
               0)
        ),
   "No Campaign"
)</f>
        <v>No Campaign</v>
      </c>
    </row>
    <row r="42" spans="1:9" ht="14.95" thickBot="1" x14ac:dyDescent="0.35">
      <c r="A42" s="15">
        <v>45516</v>
      </c>
      <c r="B42" s="7" t="s">
        <v>29</v>
      </c>
      <c r="C42" s="8">
        <v>1528</v>
      </c>
      <c r="D42" s="8">
        <v>203</v>
      </c>
      <c r="E42" s="8">
        <v>489188</v>
      </c>
      <c r="F42" s="8">
        <v>6.23</v>
      </c>
      <c r="G42" s="8">
        <v>47101</v>
      </c>
      <c r="H42">
        <f t="shared" si="0"/>
        <v>1325</v>
      </c>
      <c r="I42" t="str">
        <f t="array" ref="I42">IFERROR(
   INDEX(Cleaned_Campaign_Data!$B:$B,
         MATCH(1,
               (A42&gt;=Cleaned_Campaign_Data!$C:$C)*
               (A42&lt;=Cleaned_Campaign_Data!$D:$D),
               0)
        ),
   "No Campaign"
)</f>
        <v>No Campaign</v>
      </c>
    </row>
    <row r="43" spans="1:9" ht="14.95" thickBot="1" x14ac:dyDescent="0.35">
      <c r="A43" s="15">
        <v>45516</v>
      </c>
      <c r="B43" s="7" t="s">
        <v>30</v>
      </c>
      <c r="C43" s="8">
        <v>1534</v>
      </c>
      <c r="D43" s="8">
        <v>200</v>
      </c>
      <c r="E43" s="8">
        <v>307612</v>
      </c>
      <c r="F43" s="8">
        <v>6.01</v>
      </c>
      <c r="G43" s="8">
        <v>37903</v>
      </c>
      <c r="H43">
        <f t="shared" si="0"/>
        <v>1334</v>
      </c>
      <c r="I43" t="str">
        <f t="array" ref="I43">IFERROR(
   INDEX(Cleaned_Campaign_Data!$B:$B,
         MATCH(1,
               (A43&gt;=Cleaned_Campaign_Data!$C:$C)*
               (A43&lt;=Cleaned_Campaign_Data!$D:$D),
               0)
        ),
   "No Campaign"
)</f>
        <v>No Campaign</v>
      </c>
    </row>
    <row r="44" spans="1:9" ht="14.95" thickBot="1" x14ac:dyDescent="0.35">
      <c r="A44" s="15">
        <v>45516</v>
      </c>
      <c r="B44" s="7" t="s">
        <v>32</v>
      </c>
      <c r="C44" s="8">
        <v>485</v>
      </c>
      <c r="D44" s="8">
        <v>448</v>
      </c>
      <c r="E44" s="8">
        <v>434883</v>
      </c>
      <c r="F44" s="8">
        <v>8.5500000000000007</v>
      </c>
      <c r="G44" s="8">
        <v>33258</v>
      </c>
      <c r="H44">
        <f t="shared" si="0"/>
        <v>37</v>
      </c>
      <c r="I44" t="str">
        <f t="array" ref="I44">IFERROR(
   INDEX(Cleaned_Campaign_Data!$B:$B,
         MATCH(1,
               (A44&gt;=Cleaned_Campaign_Data!$C:$C)*
               (A44&lt;=Cleaned_Campaign_Data!$D:$D),
               0)
        ),
   "No Campaign"
)</f>
        <v>No Campaign</v>
      </c>
    </row>
    <row r="45" spans="1:9" ht="14.95" thickBot="1" x14ac:dyDescent="0.35">
      <c r="A45" s="15">
        <v>45516</v>
      </c>
      <c r="B45" s="7" t="s">
        <v>31</v>
      </c>
      <c r="C45" s="8">
        <v>1210</v>
      </c>
      <c r="D45" s="8">
        <v>178</v>
      </c>
      <c r="E45" s="8">
        <v>102042</v>
      </c>
      <c r="F45" s="8">
        <v>5.42</v>
      </c>
      <c r="G45" s="8">
        <v>6915</v>
      </c>
      <c r="H45">
        <f t="shared" si="0"/>
        <v>1032</v>
      </c>
      <c r="I45" t="str">
        <f t="array" ref="I45">IFERROR(
   INDEX(Cleaned_Campaign_Data!$B:$B,
         MATCH(1,
               (A45&gt;=Cleaned_Campaign_Data!$C:$C)*
               (A45&lt;=Cleaned_Campaign_Data!$D:$D),
               0)
        ),
   "No Campaign"
)</f>
        <v>No Campaign</v>
      </c>
    </row>
    <row r="46" spans="1:9" ht="14.95" thickBot="1" x14ac:dyDescent="0.35">
      <c r="A46" s="15">
        <v>45523</v>
      </c>
      <c r="B46" s="7" t="s">
        <v>29</v>
      </c>
      <c r="C46" s="8">
        <v>215</v>
      </c>
      <c r="D46" s="8">
        <v>139</v>
      </c>
      <c r="E46" s="8">
        <v>325444</v>
      </c>
      <c r="F46" s="8">
        <v>3.25</v>
      </c>
      <c r="G46" s="8">
        <v>35501</v>
      </c>
      <c r="H46">
        <f t="shared" si="0"/>
        <v>76</v>
      </c>
      <c r="I46" t="str">
        <f t="array" ref="I46">IFERROR(
   INDEX(Cleaned_Campaign_Data!$B:$B,
         MATCH(1,
               (A46&gt;=Cleaned_Campaign_Data!$C:$C)*
               (A46&lt;=Cleaned_Campaign_Data!$D:$D),
               0)
        ),
   "No Campaign"
)</f>
        <v>No Campaign</v>
      </c>
    </row>
    <row r="47" spans="1:9" ht="14.95" thickBot="1" x14ac:dyDescent="0.35">
      <c r="A47" s="15">
        <v>45523</v>
      </c>
      <c r="B47" s="7" t="s">
        <v>30</v>
      </c>
      <c r="C47" s="8">
        <v>1078</v>
      </c>
      <c r="D47" s="8">
        <v>20</v>
      </c>
      <c r="E47" s="8">
        <v>183924</v>
      </c>
      <c r="F47" s="8">
        <v>8.84</v>
      </c>
      <c r="G47" s="8">
        <v>14203</v>
      </c>
      <c r="H47">
        <f t="shared" si="0"/>
        <v>1058</v>
      </c>
      <c r="I47" t="str">
        <f t="array" ref="I47">IFERROR(
   INDEX(Cleaned_Campaign_Data!$B:$B,
         MATCH(1,
               (A47&gt;=Cleaned_Campaign_Data!$C:$C)*
               (A47&lt;=Cleaned_Campaign_Data!$D:$D),
               0)
        ),
   "No Campaign"
)</f>
        <v>No Campaign</v>
      </c>
    </row>
    <row r="48" spans="1:9" ht="14.95" thickBot="1" x14ac:dyDescent="0.35">
      <c r="A48" s="15">
        <v>45523</v>
      </c>
      <c r="B48" s="7" t="s">
        <v>32</v>
      </c>
      <c r="C48" s="8">
        <v>1751</v>
      </c>
      <c r="D48" s="8">
        <v>86</v>
      </c>
      <c r="E48" s="8">
        <v>188655</v>
      </c>
      <c r="F48" s="8">
        <v>7.24</v>
      </c>
      <c r="G48" s="8">
        <v>22206</v>
      </c>
      <c r="H48">
        <f t="shared" si="0"/>
        <v>1665</v>
      </c>
      <c r="I48" t="str">
        <f t="array" ref="I48">IFERROR(
   INDEX(Cleaned_Campaign_Data!$B:$B,
         MATCH(1,
               (A48&gt;=Cleaned_Campaign_Data!$C:$C)*
               (A48&lt;=Cleaned_Campaign_Data!$D:$D),
               0)
        ),
   "No Campaign"
)</f>
        <v>No Campaign</v>
      </c>
    </row>
    <row r="49" spans="1:9" ht="14.95" thickBot="1" x14ac:dyDescent="0.35">
      <c r="A49" s="15">
        <v>45523</v>
      </c>
      <c r="B49" s="7" t="s">
        <v>31</v>
      </c>
      <c r="C49" s="8">
        <v>221</v>
      </c>
      <c r="D49" s="8">
        <v>31</v>
      </c>
      <c r="E49" s="8">
        <v>87443</v>
      </c>
      <c r="F49" s="8">
        <v>6.19</v>
      </c>
      <c r="G49" s="8">
        <v>10283</v>
      </c>
      <c r="H49">
        <f t="shared" si="0"/>
        <v>190</v>
      </c>
      <c r="I49" t="str">
        <f t="array" ref="I49">IFERROR(
   INDEX(Cleaned_Campaign_Data!$B:$B,
         MATCH(1,
               (A49&gt;=Cleaned_Campaign_Data!$C:$C)*
               (A49&lt;=Cleaned_Campaign_Data!$D:$D),
               0)
        ),
   "No Campaign"
)</f>
        <v>No Campaign</v>
      </c>
    </row>
    <row r="50" spans="1:9" ht="14.95" thickBot="1" x14ac:dyDescent="0.35">
      <c r="A50" s="15">
        <v>45530</v>
      </c>
      <c r="B50" s="7" t="s">
        <v>29</v>
      </c>
      <c r="C50" s="8">
        <v>1685</v>
      </c>
      <c r="D50" s="8">
        <v>76</v>
      </c>
      <c r="E50" s="8">
        <v>453799</v>
      </c>
      <c r="F50" s="8">
        <v>5.71</v>
      </c>
      <c r="G50" s="8">
        <v>24913</v>
      </c>
      <c r="H50">
        <f t="shared" si="0"/>
        <v>1609</v>
      </c>
      <c r="I50" t="str">
        <f t="array" ref="I50">IFERROR(
   INDEX(Cleaned_Campaign_Data!$B:$B,
         MATCH(1,
               (A50&gt;=Cleaned_Campaign_Data!$C:$C)*
               (A50&lt;=Cleaned_Campaign_Data!$D:$D),
               0)
        ),
   "No Campaign"
)</f>
        <v>No Campaign</v>
      </c>
    </row>
    <row r="51" spans="1:9" ht="14.95" thickBot="1" x14ac:dyDescent="0.35">
      <c r="A51" s="15">
        <v>45530</v>
      </c>
      <c r="B51" s="7" t="s">
        <v>30</v>
      </c>
      <c r="C51" s="8">
        <v>248</v>
      </c>
      <c r="D51" s="8">
        <v>211</v>
      </c>
      <c r="E51" s="8">
        <v>379380</v>
      </c>
      <c r="F51" s="8">
        <v>9.0399999999999991</v>
      </c>
      <c r="G51" s="8">
        <v>26925</v>
      </c>
      <c r="H51">
        <f t="shared" si="0"/>
        <v>37</v>
      </c>
      <c r="I51" t="str">
        <f t="array" ref="I51">IFERROR(
   INDEX(Cleaned_Campaign_Data!$B:$B,
         MATCH(1,
               (A51&gt;=Cleaned_Campaign_Data!$C:$C)*
               (A51&lt;=Cleaned_Campaign_Data!$D:$D),
               0)
        ),
   "No Campaign"
)</f>
        <v>No Campaign</v>
      </c>
    </row>
    <row r="52" spans="1:9" ht="14.95" thickBot="1" x14ac:dyDescent="0.35">
      <c r="A52" s="15">
        <v>45530</v>
      </c>
      <c r="B52" s="7" t="s">
        <v>32</v>
      </c>
      <c r="C52" s="8">
        <v>1300</v>
      </c>
      <c r="D52" s="8">
        <v>71</v>
      </c>
      <c r="E52" s="8">
        <v>186454</v>
      </c>
      <c r="F52" s="8">
        <v>3.91</v>
      </c>
      <c r="G52" s="8">
        <v>9942</v>
      </c>
      <c r="H52">
        <f t="shared" si="0"/>
        <v>1229</v>
      </c>
      <c r="I52" t="str">
        <f t="array" ref="I52">IFERROR(
   INDEX(Cleaned_Campaign_Data!$B:$B,
         MATCH(1,
               (A52&gt;=Cleaned_Campaign_Data!$C:$C)*
               (A52&lt;=Cleaned_Campaign_Data!$D:$D),
               0)
        ),
   "No Campaign"
)</f>
        <v>No Campaign</v>
      </c>
    </row>
    <row r="53" spans="1:9" ht="14.95" thickBot="1" x14ac:dyDescent="0.35">
      <c r="A53" s="15">
        <v>45530</v>
      </c>
      <c r="B53" s="7" t="s">
        <v>31</v>
      </c>
      <c r="C53" s="8">
        <v>422</v>
      </c>
      <c r="D53" s="8">
        <v>394</v>
      </c>
      <c r="E53" s="8">
        <v>239044</v>
      </c>
      <c r="F53" s="8">
        <v>7.83</v>
      </c>
      <c r="G53" s="8">
        <v>32929</v>
      </c>
      <c r="H53">
        <f t="shared" si="0"/>
        <v>28</v>
      </c>
      <c r="I53" t="str">
        <f t="array" ref="I53">IFERROR(
   INDEX(Cleaned_Campaign_Data!$B:$B,
         MATCH(1,
               (A53&gt;=Cleaned_Campaign_Data!$C:$C)*
               (A53&lt;=Cleaned_Campaign_Data!$D:$D),
               0)
        ),
   "No Campaign"
)</f>
        <v>No Campaign</v>
      </c>
    </row>
    <row r="54" spans="1:9" ht="14.95" thickBot="1" x14ac:dyDescent="0.35">
      <c r="A54" s="15">
        <v>45537</v>
      </c>
      <c r="B54" s="7" t="s">
        <v>29</v>
      </c>
      <c r="C54" s="8">
        <v>1429</v>
      </c>
      <c r="D54" s="8">
        <v>182</v>
      </c>
      <c r="E54" s="8">
        <v>101332</v>
      </c>
      <c r="F54" s="8">
        <v>7.16</v>
      </c>
      <c r="G54" s="8">
        <v>37829</v>
      </c>
      <c r="H54">
        <f t="shared" si="0"/>
        <v>1247</v>
      </c>
      <c r="I54" t="str">
        <f t="array" ref="I54">IFERROR(
   INDEX(Cleaned_Campaign_Data!$B:$B,
         MATCH(1,
               (A54&gt;=Cleaned_Campaign_Data!$C:$C)*
               (A54&lt;=Cleaned_Campaign_Data!$D:$D),
               0)
        ),
   "No Campaign"
)</f>
        <v>No Campaign</v>
      </c>
    </row>
    <row r="55" spans="1:9" ht="14.95" thickBot="1" x14ac:dyDescent="0.35">
      <c r="A55" s="15">
        <v>45537</v>
      </c>
      <c r="B55" s="7" t="s">
        <v>30</v>
      </c>
      <c r="C55" s="8">
        <v>1520</v>
      </c>
      <c r="D55" s="8">
        <v>475</v>
      </c>
      <c r="E55" s="8">
        <v>496982</v>
      </c>
      <c r="F55" s="8">
        <v>6.41</v>
      </c>
      <c r="G55" s="8">
        <v>24384</v>
      </c>
      <c r="H55">
        <f t="shared" si="0"/>
        <v>1045</v>
      </c>
      <c r="I55" t="str">
        <f t="array" ref="I55">IFERROR(
   INDEX(Cleaned_Campaign_Data!$B:$B,
         MATCH(1,
               (A55&gt;=Cleaned_Campaign_Data!$C:$C)*
               (A55&lt;=Cleaned_Campaign_Data!$D:$D),
               0)
        ),
   "No Campaign"
)</f>
        <v>No Campaign</v>
      </c>
    </row>
    <row r="56" spans="1:9" ht="14.95" thickBot="1" x14ac:dyDescent="0.35">
      <c r="A56" s="15">
        <v>45537</v>
      </c>
      <c r="B56" s="7" t="s">
        <v>32</v>
      </c>
      <c r="C56" s="8">
        <v>557</v>
      </c>
      <c r="D56" s="8">
        <v>360</v>
      </c>
      <c r="E56" s="8">
        <v>318779</v>
      </c>
      <c r="F56" s="8">
        <v>8.02</v>
      </c>
      <c r="G56" s="8">
        <v>25797</v>
      </c>
      <c r="H56">
        <f t="shared" si="0"/>
        <v>197</v>
      </c>
      <c r="I56" t="str">
        <f t="array" ref="I56">IFERROR(
   INDEX(Cleaned_Campaign_Data!$B:$B,
         MATCH(1,
               (A56&gt;=Cleaned_Campaign_Data!$C:$C)*
               (A56&lt;=Cleaned_Campaign_Data!$D:$D),
               0)
        ),
   "No Campaign"
)</f>
        <v>No Campaign</v>
      </c>
    </row>
    <row r="57" spans="1:9" ht="14.95" thickBot="1" x14ac:dyDescent="0.35">
      <c r="A57" s="15">
        <v>45537</v>
      </c>
      <c r="B57" s="7" t="s">
        <v>31</v>
      </c>
      <c r="C57" s="8">
        <v>728</v>
      </c>
      <c r="D57" s="8">
        <v>395</v>
      </c>
      <c r="E57" s="8">
        <v>370971</v>
      </c>
      <c r="F57" s="8">
        <v>3.86</v>
      </c>
      <c r="G57" s="8">
        <v>12646</v>
      </c>
      <c r="H57">
        <f t="shared" si="0"/>
        <v>333</v>
      </c>
      <c r="I57" t="str">
        <f t="array" ref="I57">IFERROR(
   INDEX(Cleaned_Campaign_Data!$B:$B,
         MATCH(1,
               (A57&gt;=Cleaned_Campaign_Data!$C:$C)*
               (A57&lt;=Cleaned_Campaign_Data!$D:$D),
               0)
        ),
   "No Campaign"
)</f>
        <v>No Campaign</v>
      </c>
    </row>
    <row r="58" spans="1:9" ht="14.95" thickBot="1" x14ac:dyDescent="0.35">
      <c r="A58" s="15">
        <v>45544</v>
      </c>
      <c r="B58" s="7" t="s">
        <v>29</v>
      </c>
      <c r="C58" s="8">
        <v>1592</v>
      </c>
      <c r="D58" s="8">
        <v>20</v>
      </c>
      <c r="E58" s="8">
        <v>378054</v>
      </c>
      <c r="F58" s="8">
        <v>9.09</v>
      </c>
      <c r="G58" s="8">
        <v>26663</v>
      </c>
      <c r="H58">
        <f t="shared" si="0"/>
        <v>1572</v>
      </c>
      <c r="I58" t="str">
        <f t="array" ref="I58">IFERROR(
   INDEX(Cleaned_Campaign_Data!$B:$B,
         MATCH(1,
               (A58&gt;=Cleaned_Campaign_Data!$C:$C)*
               (A58&lt;=Cleaned_Campaign_Data!$D:$D),
               0)
        ),
   "No Campaign"
)</f>
        <v>No Campaign</v>
      </c>
    </row>
    <row r="59" spans="1:9" ht="14.95" thickBot="1" x14ac:dyDescent="0.35">
      <c r="A59" s="15">
        <v>45544</v>
      </c>
      <c r="B59" s="7" t="s">
        <v>30</v>
      </c>
      <c r="C59" s="8">
        <v>1842</v>
      </c>
      <c r="D59" s="8">
        <v>414</v>
      </c>
      <c r="E59" s="8">
        <v>307524</v>
      </c>
      <c r="F59" s="8">
        <v>1.76</v>
      </c>
      <c r="G59" s="8">
        <v>40478</v>
      </c>
      <c r="H59">
        <f t="shared" si="0"/>
        <v>1428</v>
      </c>
      <c r="I59" t="str">
        <f t="array" ref="I59">IFERROR(
   INDEX(Cleaned_Campaign_Data!$B:$B,
         MATCH(1,
               (A59&gt;=Cleaned_Campaign_Data!$C:$C)*
               (A59&lt;=Cleaned_Campaign_Data!$D:$D),
               0)
        ),
   "No Campaign"
)</f>
        <v>No Campaign</v>
      </c>
    </row>
    <row r="60" spans="1:9" ht="14.95" thickBot="1" x14ac:dyDescent="0.35">
      <c r="A60" s="15">
        <v>45544</v>
      </c>
      <c r="B60" s="7" t="s">
        <v>32</v>
      </c>
      <c r="C60" s="8">
        <v>751</v>
      </c>
      <c r="D60" s="8">
        <v>491</v>
      </c>
      <c r="E60" s="8">
        <v>434047</v>
      </c>
      <c r="F60" s="8">
        <v>9.24</v>
      </c>
      <c r="G60" s="8">
        <v>15476</v>
      </c>
      <c r="H60">
        <f t="shared" si="0"/>
        <v>260</v>
      </c>
      <c r="I60" t="str">
        <f t="array" ref="I60">IFERROR(
   INDEX(Cleaned_Campaign_Data!$B:$B,
         MATCH(1,
               (A60&gt;=Cleaned_Campaign_Data!$C:$C)*
               (A60&lt;=Cleaned_Campaign_Data!$D:$D),
               0)
        ),
   "No Campaign"
)</f>
        <v>No Campaign</v>
      </c>
    </row>
    <row r="61" spans="1:9" ht="14.95" thickBot="1" x14ac:dyDescent="0.35">
      <c r="A61" s="15">
        <v>45544</v>
      </c>
      <c r="B61" s="7" t="s">
        <v>31</v>
      </c>
      <c r="C61" s="8">
        <v>1409</v>
      </c>
      <c r="D61" s="8">
        <v>309</v>
      </c>
      <c r="E61" s="8">
        <v>64583</v>
      </c>
      <c r="F61" s="8">
        <v>8.99</v>
      </c>
      <c r="G61" s="8">
        <v>10217</v>
      </c>
      <c r="H61">
        <f t="shared" si="0"/>
        <v>1100</v>
      </c>
      <c r="I61" t="str">
        <f t="array" ref="I61">IFERROR(
   INDEX(Cleaned_Campaign_Data!$B:$B,
         MATCH(1,
               (A61&gt;=Cleaned_Campaign_Data!$C:$C)*
               (A61&lt;=Cleaned_Campaign_Data!$D:$D),
               0)
        ),
   "No Campaign"
)</f>
        <v>No Campaign</v>
      </c>
    </row>
    <row r="62" spans="1:9" ht="14.95" thickBot="1" x14ac:dyDescent="0.35">
      <c r="A62" s="15">
        <v>45551</v>
      </c>
      <c r="B62" s="7" t="s">
        <v>29</v>
      </c>
      <c r="C62" s="8">
        <v>778</v>
      </c>
      <c r="D62" s="8">
        <v>401</v>
      </c>
      <c r="E62" s="8">
        <v>50793</v>
      </c>
      <c r="F62" s="8">
        <v>3.4</v>
      </c>
      <c r="G62" s="8">
        <v>21939</v>
      </c>
      <c r="H62">
        <f t="shared" si="0"/>
        <v>377</v>
      </c>
      <c r="I62" t="str">
        <f t="array" ref="I62">IFERROR(
   INDEX(Cleaned_Campaign_Data!$B:$B,
         MATCH(1,
               (A62&gt;=Cleaned_Campaign_Data!$C:$C)*
               (A62&lt;=Cleaned_Campaign_Data!$D:$D),
               0)
        ),
   "No Campaign"
)</f>
        <v>No Campaign</v>
      </c>
    </row>
    <row r="63" spans="1:9" ht="14.95" thickBot="1" x14ac:dyDescent="0.35">
      <c r="A63" s="15">
        <v>45551</v>
      </c>
      <c r="B63" s="7" t="s">
        <v>30</v>
      </c>
      <c r="C63" s="8">
        <v>443</v>
      </c>
      <c r="D63" s="8">
        <v>345</v>
      </c>
      <c r="E63" s="8">
        <v>474162</v>
      </c>
      <c r="F63" s="8">
        <v>9.1999999999999993</v>
      </c>
      <c r="G63" s="8">
        <v>47462</v>
      </c>
      <c r="H63">
        <f t="shared" si="0"/>
        <v>98</v>
      </c>
      <c r="I63" t="str">
        <f t="array" ref="I63">IFERROR(
   INDEX(Cleaned_Campaign_Data!$B:$B,
         MATCH(1,
               (A63&gt;=Cleaned_Campaign_Data!$C:$C)*
               (A63&lt;=Cleaned_Campaign_Data!$D:$D),
               0)
        ),
   "No Campaign"
)</f>
        <v>No Campaign</v>
      </c>
    </row>
    <row r="64" spans="1:9" ht="14.95" thickBot="1" x14ac:dyDescent="0.35">
      <c r="A64" s="15">
        <v>45551</v>
      </c>
      <c r="B64" s="7" t="s">
        <v>32</v>
      </c>
      <c r="C64" s="8">
        <v>1472</v>
      </c>
      <c r="D64" s="8">
        <v>347</v>
      </c>
      <c r="E64" s="8">
        <v>392355</v>
      </c>
      <c r="F64" s="8">
        <v>8.59</v>
      </c>
      <c r="G64" s="8">
        <v>30270</v>
      </c>
      <c r="H64">
        <f t="shared" si="0"/>
        <v>1125</v>
      </c>
      <c r="I64" t="str">
        <f t="array" ref="I64">IFERROR(
   INDEX(Cleaned_Campaign_Data!$B:$B,
         MATCH(1,
               (A64&gt;=Cleaned_Campaign_Data!$C:$C)*
               (A64&lt;=Cleaned_Campaign_Data!$D:$D),
               0)
        ),
   "No Campaign"
)</f>
        <v>No Campaign</v>
      </c>
    </row>
    <row r="65" spans="1:9" ht="14.95" thickBot="1" x14ac:dyDescent="0.35">
      <c r="A65" s="15">
        <v>45551</v>
      </c>
      <c r="B65" s="7" t="s">
        <v>31</v>
      </c>
      <c r="C65" s="8">
        <v>123</v>
      </c>
      <c r="D65" s="8">
        <v>155</v>
      </c>
      <c r="E65" s="8">
        <v>119934</v>
      </c>
      <c r="F65" s="8">
        <v>3.5</v>
      </c>
      <c r="G65" s="8">
        <v>5442</v>
      </c>
      <c r="H65">
        <f t="shared" si="0"/>
        <v>-32</v>
      </c>
      <c r="I65" t="str">
        <f t="array" ref="I65">IFERROR(
   INDEX(Cleaned_Campaign_Data!$B:$B,
         MATCH(1,
               (A65&gt;=Cleaned_Campaign_Data!$C:$C)*
               (A65&lt;=Cleaned_Campaign_Data!$D:$D),
               0)
        ),
   "No Campaign"
)</f>
        <v>No Campaign</v>
      </c>
    </row>
    <row r="66" spans="1:9" ht="14.95" thickBot="1" x14ac:dyDescent="0.35">
      <c r="A66" s="15">
        <v>45558</v>
      </c>
      <c r="B66" s="7" t="s">
        <v>29</v>
      </c>
      <c r="C66" s="8">
        <v>817</v>
      </c>
      <c r="D66" s="8">
        <v>151</v>
      </c>
      <c r="E66" s="8">
        <v>422625</v>
      </c>
      <c r="F66" s="8">
        <v>2.36</v>
      </c>
      <c r="G66" s="8">
        <v>1083</v>
      </c>
      <c r="H66">
        <f t="shared" si="0"/>
        <v>666</v>
      </c>
      <c r="I66" t="str">
        <f t="array" ref="I66">IFERROR(
   INDEX(Cleaned_Campaign_Data!$B:$B,
         MATCH(1,
               (A66&gt;=Cleaned_Campaign_Data!$C:$C)*
               (A66&lt;=Cleaned_Campaign_Data!$D:$D),
               0)
        ),
   "No Campaign"
)</f>
        <v>No Campaign</v>
      </c>
    </row>
    <row r="67" spans="1:9" ht="14.95" thickBot="1" x14ac:dyDescent="0.35">
      <c r="A67" s="15">
        <v>45558</v>
      </c>
      <c r="B67" s="7" t="s">
        <v>30</v>
      </c>
      <c r="C67" s="8">
        <v>198</v>
      </c>
      <c r="D67" s="8">
        <v>217</v>
      </c>
      <c r="E67" s="8">
        <v>239753</v>
      </c>
      <c r="F67" s="8">
        <v>7.36</v>
      </c>
      <c r="G67" s="8">
        <v>11901</v>
      </c>
      <c r="H67">
        <f t="shared" ref="H67:H130" si="1" xml:space="preserve"> C67 - D67</f>
        <v>-19</v>
      </c>
      <c r="I67" t="str">
        <f t="array" ref="I67">IFERROR(
   INDEX(Cleaned_Campaign_Data!$B:$B,
         MATCH(1,
               (A67&gt;=Cleaned_Campaign_Data!$C:$C)*
               (A67&lt;=Cleaned_Campaign_Data!$D:$D),
               0)
        ),
   "No Campaign"
)</f>
        <v>No Campaign</v>
      </c>
    </row>
    <row r="68" spans="1:9" ht="14.95" thickBot="1" x14ac:dyDescent="0.35">
      <c r="A68" s="15">
        <v>45558</v>
      </c>
      <c r="B68" s="7" t="s">
        <v>32</v>
      </c>
      <c r="C68" s="8">
        <v>1911</v>
      </c>
      <c r="D68" s="8">
        <v>231</v>
      </c>
      <c r="E68" s="8">
        <v>268516</v>
      </c>
      <c r="F68" s="8">
        <v>8.5500000000000007</v>
      </c>
      <c r="G68" s="8">
        <v>24018</v>
      </c>
      <c r="H68">
        <f t="shared" si="1"/>
        <v>1680</v>
      </c>
      <c r="I68" t="str">
        <f t="array" ref="I68">IFERROR(
   INDEX(Cleaned_Campaign_Data!$B:$B,
         MATCH(1,
               (A68&gt;=Cleaned_Campaign_Data!$C:$C)*
               (A68&lt;=Cleaned_Campaign_Data!$D:$D),
               0)
        ),
   "No Campaign"
)</f>
        <v>No Campaign</v>
      </c>
    </row>
    <row r="69" spans="1:9" ht="14.95" thickBot="1" x14ac:dyDescent="0.35">
      <c r="A69" s="15">
        <v>45558</v>
      </c>
      <c r="B69" s="7" t="s">
        <v>31</v>
      </c>
      <c r="C69" s="8">
        <v>1218</v>
      </c>
      <c r="D69" s="8">
        <v>212</v>
      </c>
      <c r="E69" s="8">
        <v>63177</v>
      </c>
      <c r="F69" s="8">
        <v>8.1300000000000008</v>
      </c>
      <c r="G69" s="8">
        <v>38883</v>
      </c>
      <c r="H69">
        <f t="shared" si="1"/>
        <v>1006</v>
      </c>
      <c r="I69" t="str">
        <f t="array" ref="I69">IFERROR(
   INDEX(Cleaned_Campaign_Data!$B:$B,
         MATCH(1,
               (A69&gt;=Cleaned_Campaign_Data!$C:$C)*
               (A69&lt;=Cleaned_Campaign_Data!$D:$D),
               0)
        ),
   "No Campaign"
)</f>
        <v>No Campaign</v>
      </c>
    </row>
    <row r="70" spans="1:9" ht="14.95" thickBot="1" x14ac:dyDescent="0.35">
      <c r="A70" s="15">
        <v>45565</v>
      </c>
      <c r="B70" s="7" t="s">
        <v>29</v>
      </c>
      <c r="C70" s="8">
        <v>1433</v>
      </c>
      <c r="D70" s="8">
        <v>408</v>
      </c>
      <c r="E70" s="8">
        <v>370269</v>
      </c>
      <c r="F70" s="8">
        <v>3.3</v>
      </c>
      <c r="G70" s="8">
        <v>30575</v>
      </c>
      <c r="H70">
        <f t="shared" si="1"/>
        <v>1025</v>
      </c>
      <c r="I70" t="str">
        <f t="array" ref="I70">IFERROR(
   INDEX(Cleaned_Campaign_Data!$B:$B,
         MATCH(1,
               (A70&gt;=Cleaned_Campaign_Data!$C:$C)*
               (A70&lt;=Cleaned_Campaign_Data!$D:$D),
               0)
        ),
   "No Campaign"
)</f>
        <v>No Campaign</v>
      </c>
    </row>
    <row r="71" spans="1:9" ht="14.95" thickBot="1" x14ac:dyDescent="0.35">
      <c r="A71" s="15">
        <v>45565</v>
      </c>
      <c r="B71" s="7" t="s">
        <v>30</v>
      </c>
      <c r="C71" s="8">
        <v>250</v>
      </c>
      <c r="D71" s="8">
        <v>429</v>
      </c>
      <c r="E71" s="8">
        <v>453423</v>
      </c>
      <c r="F71" s="8">
        <v>1.77</v>
      </c>
      <c r="G71" s="8">
        <v>2315</v>
      </c>
      <c r="H71">
        <f t="shared" si="1"/>
        <v>-179</v>
      </c>
      <c r="I71" t="str">
        <f t="array" ref="I71">IFERROR(
   INDEX(Cleaned_Campaign_Data!$B:$B,
         MATCH(1,
               (A71&gt;=Cleaned_Campaign_Data!$C:$C)*
               (A71&lt;=Cleaned_Campaign_Data!$D:$D),
               0)
        ),
   "No Campaign"
)</f>
        <v>No Campaign</v>
      </c>
    </row>
    <row r="72" spans="1:9" ht="14.95" thickBot="1" x14ac:dyDescent="0.35">
      <c r="A72" s="15">
        <v>45565</v>
      </c>
      <c r="B72" s="7" t="s">
        <v>32</v>
      </c>
      <c r="C72" s="8">
        <v>752</v>
      </c>
      <c r="D72" s="8">
        <v>153</v>
      </c>
      <c r="E72" s="8">
        <v>64906</v>
      </c>
      <c r="F72" s="8">
        <v>2.09</v>
      </c>
      <c r="G72" s="8">
        <v>12148</v>
      </c>
      <c r="H72">
        <f t="shared" si="1"/>
        <v>599</v>
      </c>
      <c r="I72" t="str">
        <f t="array" ref="I72">IFERROR(
   INDEX(Cleaned_Campaign_Data!$B:$B,
         MATCH(1,
               (A72&gt;=Cleaned_Campaign_Data!$C:$C)*
               (A72&lt;=Cleaned_Campaign_Data!$D:$D),
               0)
        ),
   "No Campaign"
)</f>
        <v>No Campaign</v>
      </c>
    </row>
    <row r="73" spans="1:9" ht="14.95" thickBot="1" x14ac:dyDescent="0.35">
      <c r="A73" s="15">
        <v>45565</v>
      </c>
      <c r="B73" s="7" t="s">
        <v>31</v>
      </c>
      <c r="C73" s="8">
        <v>1918</v>
      </c>
      <c r="D73" s="8">
        <v>212</v>
      </c>
      <c r="E73" s="8">
        <v>94360</v>
      </c>
      <c r="F73" s="8">
        <v>7.36</v>
      </c>
      <c r="G73" s="8">
        <v>36851</v>
      </c>
      <c r="H73">
        <f t="shared" si="1"/>
        <v>1706</v>
      </c>
      <c r="I73" t="str">
        <f t="array" ref="I73">IFERROR(
   INDEX(Cleaned_Campaign_Data!$B:$B,
         MATCH(1,
               (A73&gt;=Cleaned_Campaign_Data!$C:$C)*
               (A73&lt;=Cleaned_Campaign_Data!$D:$D),
               0)
        ),
   "No Campaign"
)</f>
        <v>No Campaign</v>
      </c>
    </row>
    <row r="74" spans="1:9" ht="14.95" thickBot="1" x14ac:dyDescent="0.35">
      <c r="A74" s="15">
        <v>45572</v>
      </c>
      <c r="B74" s="7" t="s">
        <v>29</v>
      </c>
      <c r="C74" s="8">
        <v>1939</v>
      </c>
      <c r="D74" s="8">
        <v>67</v>
      </c>
      <c r="E74" s="8">
        <v>187183</v>
      </c>
      <c r="F74" s="8">
        <v>6.25</v>
      </c>
      <c r="G74" s="8">
        <v>41215</v>
      </c>
      <c r="H74">
        <f t="shared" si="1"/>
        <v>1872</v>
      </c>
      <c r="I74" t="str">
        <f t="array" ref="I74">IFERROR(
   INDEX(Cleaned_Campaign_Data!$B:$B,
         MATCH(1,
               (A74&gt;=Cleaned_Campaign_Data!$C:$C)*
               (A74&lt;=Cleaned_Campaign_Data!$D:$D),
               0)
        ),
   "No Campaign"
)</f>
        <v>FestiveRadiance</v>
      </c>
    </row>
    <row r="75" spans="1:9" ht="14.95" thickBot="1" x14ac:dyDescent="0.35">
      <c r="A75" s="15">
        <v>45572</v>
      </c>
      <c r="B75" s="7" t="s">
        <v>30</v>
      </c>
      <c r="C75" s="8">
        <v>1929</v>
      </c>
      <c r="D75" s="8">
        <v>267</v>
      </c>
      <c r="E75" s="8">
        <v>379363</v>
      </c>
      <c r="F75" s="8">
        <v>1.75</v>
      </c>
      <c r="G75" s="8">
        <v>43836</v>
      </c>
      <c r="H75">
        <f t="shared" si="1"/>
        <v>1662</v>
      </c>
      <c r="I75" t="str">
        <f t="array" ref="I75">IFERROR(
   INDEX(Cleaned_Campaign_Data!$B:$B,
         MATCH(1,
               (A75&gt;=Cleaned_Campaign_Data!$C:$C)*
               (A75&lt;=Cleaned_Campaign_Data!$D:$D),
               0)
        ),
   "No Campaign"
)</f>
        <v>FestiveRadiance</v>
      </c>
    </row>
    <row r="76" spans="1:9" ht="14.95" thickBot="1" x14ac:dyDescent="0.35">
      <c r="A76" s="15">
        <v>45572</v>
      </c>
      <c r="B76" s="7" t="s">
        <v>32</v>
      </c>
      <c r="C76" s="8">
        <v>437</v>
      </c>
      <c r="D76" s="8">
        <v>330</v>
      </c>
      <c r="E76" s="8">
        <v>476486</v>
      </c>
      <c r="F76" s="8">
        <v>4.97</v>
      </c>
      <c r="G76" s="8">
        <v>4509</v>
      </c>
      <c r="H76">
        <f t="shared" si="1"/>
        <v>107</v>
      </c>
      <c r="I76" t="str">
        <f t="array" ref="I76">IFERROR(
   INDEX(Cleaned_Campaign_Data!$B:$B,
         MATCH(1,
               (A76&gt;=Cleaned_Campaign_Data!$C:$C)*
               (A76&lt;=Cleaned_Campaign_Data!$D:$D),
               0)
        ),
   "No Campaign"
)</f>
        <v>FestiveRadiance</v>
      </c>
    </row>
    <row r="77" spans="1:9" ht="14.95" thickBot="1" x14ac:dyDescent="0.35">
      <c r="A77" s="15">
        <v>45572</v>
      </c>
      <c r="B77" s="7" t="s">
        <v>31</v>
      </c>
      <c r="C77" s="8">
        <v>307</v>
      </c>
      <c r="D77" s="8">
        <v>189</v>
      </c>
      <c r="E77" s="8">
        <v>117767</v>
      </c>
      <c r="F77" s="8">
        <v>9.3000000000000007</v>
      </c>
      <c r="G77" s="8">
        <v>27822</v>
      </c>
      <c r="H77">
        <f t="shared" si="1"/>
        <v>118</v>
      </c>
      <c r="I77" t="str">
        <f t="array" ref="I77">IFERROR(
   INDEX(Cleaned_Campaign_Data!$B:$B,
         MATCH(1,
               (A77&gt;=Cleaned_Campaign_Data!$C:$C)*
               (A77&lt;=Cleaned_Campaign_Data!$D:$D),
               0)
        ),
   "No Campaign"
)</f>
        <v>FestiveRadiance</v>
      </c>
    </row>
    <row r="78" spans="1:9" ht="14.95" thickBot="1" x14ac:dyDescent="0.35">
      <c r="A78" s="15">
        <v>45579</v>
      </c>
      <c r="B78" s="7" t="s">
        <v>29</v>
      </c>
      <c r="C78" s="8">
        <v>1527</v>
      </c>
      <c r="D78" s="8">
        <v>303</v>
      </c>
      <c r="E78" s="8">
        <v>388555</v>
      </c>
      <c r="F78" s="8">
        <v>8.9</v>
      </c>
      <c r="G78" s="8">
        <v>36397</v>
      </c>
      <c r="H78">
        <f t="shared" si="1"/>
        <v>1224</v>
      </c>
      <c r="I78" t="str">
        <f t="array" ref="I78">IFERROR(
   INDEX(Cleaned_Campaign_Data!$B:$B,
         MATCH(1,
               (A78&gt;=Cleaned_Campaign_Data!$C:$C)*
               (A78&lt;=Cleaned_Campaign_Data!$D:$D),
               0)
        ),
   "No Campaign"
)</f>
        <v>FestiveRadiance</v>
      </c>
    </row>
    <row r="79" spans="1:9" ht="14.95" thickBot="1" x14ac:dyDescent="0.35">
      <c r="A79" s="15">
        <v>45579</v>
      </c>
      <c r="B79" s="7" t="s">
        <v>30</v>
      </c>
      <c r="C79" s="8">
        <v>643</v>
      </c>
      <c r="D79" s="8">
        <v>358</v>
      </c>
      <c r="E79" s="8">
        <v>157599</v>
      </c>
      <c r="F79" s="8">
        <v>3.88</v>
      </c>
      <c r="G79" s="8">
        <v>7285</v>
      </c>
      <c r="H79">
        <f t="shared" si="1"/>
        <v>285</v>
      </c>
      <c r="I79" t="str">
        <f t="array" ref="I79">IFERROR(
   INDEX(Cleaned_Campaign_Data!$B:$B,
         MATCH(1,
               (A79&gt;=Cleaned_Campaign_Data!$C:$C)*
               (A79&lt;=Cleaned_Campaign_Data!$D:$D),
               0)
        ),
   "No Campaign"
)</f>
        <v>FestiveRadiance</v>
      </c>
    </row>
    <row r="80" spans="1:9" ht="14.95" thickBot="1" x14ac:dyDescent="0.35">
      <c r="A80" s="15">
        <v>45579</v>
      </c>
      <c r="B80" s="7" t="s">
        <v>32</v>
      </c>
      <c r="C80" s="8">
        <v>201</v>
      </c>
      <c r="D80" s="8">
        <v>221</v>
      </c>
      <c r="E80" s="8">
        <v>309772</v>
      </c>
      <c r="F80" s="8">
        <v>5.9</v>
      </c>
      <c r="G80" s="8">
        <v>33174</v>
      </c>
      <c r="H80">
        <f t="shared" si="1"/>
        <v>-20</v>
      </c>
      <c r="I80" t="str">
        <f t="array" ref="I80">IFERROR(
   INDEX(Cleaned_Campaign_Data!$B:$B,
         MATCH(1,
               (A80&gt;=Cleaned_Campaign_Data!$C:$C)*
               (A80&lt;=Cleaned_Campaign_Data!$D:$D),
               0)
        ),
   "No Campaign"
)</f>
        <v>FestiveRadiance</v>
      </c>
    </row>
    <row r="81" spans="1:9" ht="14.95" thickBot="1" x14ac:dyDescent="0.35">
      <c r="A81" s="15">
        <v>45579</v>
      </c>
      <c r="B81" s="7" t="s">
        <v>31</v>
      </c>
      <c r="C81" s="8">
        <v>414</v>
      </c>
      <c r="D81" s="8">
        <v>47</v>
      </c>
      <c r="E81" s="8">
        <v>199178</v>
      </c>
      <c r="F81" s="8">
        <v>1.53</v>
      </c>
      <c r="G81" s="8">
        <v>6742</v>
      </c>
      <c r="H81">
        <f t="shared" si="1"/>
        <v>367</v>
      </c>
      <c r="I81" t="str">
        <f t="array" ref="I81">IFERROR(
   INDEX(Cleaned_Campaign_Data!$B:$B,
         MATCH(1,
               (A81&gt;=Cleaned_Campaign_Data!$C:$C)*
               (A81&lt;=Cleaned_Campaign_Data!$D:$D),
               0)
        ),
   "No Campaign"
)</f>
        <v>FestiveRadiance</v>
      </c>
    </row>
    <row r="82" spans="1:9" ht="14.95" thickBot="1" x14ac:dyDescent="0.35">
      <c r="A82" s="15">
        <v>45586</v>
      </c>
      <c r="B82" s="7" t="s">
        <v>29</v>
      </c>
      <c r="C82" s="8">
        <v>703</v>
      </c>
      <c r="D82" s="8">
        <v>441</v>
      </c>
      <c r="E82" s="8">
        <v>357089</v>
      </c>
      <c r="F82" s="8">
        <v>6.5</v>
      </c>
      <c r="G82" s="8">
        <v>32478</v>
      </c>
      <c r="H82">
        <f t="shared" si="1"/>
        <v>262</v>
      </c>
      <c r="I82" t="str">
        <f t="array" ref="I82">IFERROR(
   INDEX(Cleaned_Campaign_Data!$B:$B,
         MATCH(1,
               (A82&gt;=Cleaned_Campaign_Data!$C:$C)*
               (A82&lt;=Cleaned_Campaign_Data!$D:$D),
               0)
        ),
   "No Campaign"
)</f>
        <v>FestiveRadiance</v>
      </c>
    </row>
    <row r="83" spans="1:9" ht="14.95" thickBot="1" x14ac:dyDescent="0.35">
      <c r="A83" s="15">
        <v>45586</v>
      </c>
      <c r="B83" s="7" t="s">
        <v>30</v>
      </c>
      <c r="C83" s="8">
        <v>508</v>
      </c>
      <c r="D83" s="8">
        <v>69</v>
      </c>
      <c r="E83" s="8">
        <v>23492</v>
      </c>
      <c r="F83" s="8">
        <v>3.16</v>
      </c>
      <c r="G83" s="8">
        <v>42824</v>
      </c>
      <c r="H83">
        <f t="shared" si="1"/>
        <v>439</v>
      </c>
      <c r="I83" t="str">
        <f t="array" ref="I83">IFERROR(
   INDEX(Cleaned_Campaign_Data!$B:$B,
         MATCH(1,
               (A83&gt;=Cleaned_Campaign_Data!$C:$C)*
               (A83&lt;=Cleaned_Campaign_Data!$D:$D),
               0)
        ),
   "No Campaign"
)</f>
        <v>FestiveRadiance</v>
      </c>
    </row>
    <row r="84" spans="1:9" ht="14.95" thickBot="1" x14ac:dyDescent="0.35">
      <c r="A84" s="15">
        <v>45586</v>
      </c>
      <c r="B84" s="7" t="s">
        <v>32</v>
      </c>
      <c r="C84" s="8">
        <v>697</v>
      </c>
      <c r="D84" s="8">
        <v>61</v>
      </c>
      <c r="E84" s="8">
        <v>258287</v>
      </c>
      <c r="F84" s="8">
        <v>8.25</v>
      </c>
      <c r="G84" s="8">
        <v>21208</v>
      </c>
      <c r="H84">
        <f t="shared" si="1"/>
        <v>636</v>
      </c>
      <c r="I84" t="str">
        <f t="array" ref="I84">IFERROR(
   INDEX(Cleaned_Campaign_Data!$B:$B,
         MATCH(1,
               (A84&gt;=Cleaned_Campaign_Data!$C:$C)*
               (A84&lt;=Cleaned_Campaign_Data!$D:$D),
               0)
        ),
   "No Campaign"
)</f>
        <v>FestiveRadiance</v>
      </c>
    </row>
    <row r="85" spans="1:9" ht="14.95" thickBot="1" x14ac:dyDescent="0.35">
      <c r="A85" s="15">
        <v>45586</v>
      </c>
      <c r="B85" s="7" t="s">
        <v>31</v>
      </c>
      <c r="C85" s="8">
        <v>1707</v>
      </c>
      <c r="D85" s="8">
        <v>223</v>
      </c>
      <c r="E85" s="8">
        <v>256910</v>
      </c>
      <c r="F85" s="8">
        <v>5.41</v>
      </c>
      <c r="G85" s="8">
        <v>44321</v>
      </c>
      <c r="H85">
        <f t="shared" si="1"/>
        <v>1484</v>
      </c>
      <c r="I85" t="str">
        <f t="array" ref="I85">IFERROR(
   INDEX(Cleaned_Campaign_Data!$B:$B,
         MATCH(1,
               (A85&gt;=Cleaned_Campaign_Data!$C:$C)*
               (A85&lt;=Cleaned_Campaign_Data!$D:$D),
               0)
        ),
   "No Campaign"
)</f>
        <v>FestiveRadiance</v>
      </c>
    </row>
    <row r="86" spans="1:9" ht="14.95" thickBot="1" x14ac:dyDescent="0.35">
      <c r="A86" s="15">
        <v>45593</v>
      </c>
      <c r="B86" s="7" t="s">
        <v>29</v>
      </c>
      <c r="C86" s="8">
        <v>642</v>
      </c>
      <c r="D86" s="8">
        <v>66</v>
      </c>
      <c r="E86" s="8">
        <v>346522</v>
      </c>
      <c r="F86" s="8">
        <v>5.85</v>
      </c>
      <c r="G86" s="8">
        <v>13116</v>
      </c>
      <c r="H86">
        <f t="shared" si="1"/>
        <v>576</v>
      </c>
      <c r="I86" t="str">
        <f t="array" ref="I86">IFERROR(
   INDEX(Cleaned_Campaign_Data!$B:$B,
         MATCH(1,
               (A86&gt;=Cleaned_Campaign_Data!$C:$C)*
               (A86&lt;=Cleaned_Campaign_Data!$D:$D),
               0)
        ),
   "No Campaign"
)</f>
        <v>FestiveRadiance</v>
      </c>
    </row>
    <row r="87" spans="1:9" ht="14.95" thickBot="1" x14ac:dyDescent="0.35">
      <c r="A87" s="15">
        <v>45593</v>
      </c>
      <c r="B87" s="7" t="s">
        <v>30</v>
      </c>
      <c r="C87" s="8">
        <v>859</v>
      </c>
      <c r="D87" s="8">
        <v>473</v>
      </c>
      <c r="E87" s="8">
        <v>209987</v>
      </c>
      <c r="F87" s="8">
        <v>4.46</v>
      </c>
      <c r="G87" s="8">
        <v>30214</v>
      </c>
      <c r="H87">
        <f t="shared" si="1"/>
        <v>386</v>
      </c>
      <c r="I87" t="str">
        <f t="array" ref="I87">IFERROR(
   INDEX(Cleaned_Campaign_Data!$B:$B,
         MATCH(1,
               (A87&gt;=Cleaned_Campaign_Data!$C:$C)*
               (A87&lt;=Cleaned_Campaign_Data!$D:$D),
               0)
        ),
   "No Campaign"
)</f>
        <v>FestiveRadiance</v>
      </c>
    </row>
    <row r="88" spans="1:9" ht="14.95" thickBot="1" x14ac:dyDescent="0.35">
      <c r="A88" s="15">
        <v>45593</v>
      </c>
      <c r="B88" s="7" t="s">
        <v>32</v>
      </c>
      <c r="C88" s="8">
        <v>191</v>
      </c>
      <c r="D88" s="8">
        <v>154</v>
      </c>
      <c r="E88" s="8">
        <v>240550</v>
      </c>
      <c r="F88" s="8">
        <v>5.22</v>
      </c>
      <c r="G88" s="8">
        <v>15827</v>
      </c>
      <c r="H88">
        <f t="shared" si="1"/>
        <v>37</v>
      </c>
      <c r="I88" t="str">
        <f t="array" ref="I88">IFERROR(
   INDEX(Cleaned_Campaign_Data!$B:$B,
         MATCH(1,
               (A88&gt;=Cleaned_Campaign_Data!$C:$C)*
               (A88&lt;=Cleaned_Campaign_Data!$D:$D),
               0)
        ),
   "No Campaign"
)</f>
        <v>FestiveRadiance</v>
      </c>
    </row>
    <row r="89" spans="1:9" ht="14.95" thickBot="1" x14ac:dyDescent="0.35">
      <c r="A89" s="15">
        <v>45593</v>
      </c>
      <c r="B89" s="7" t="s">
        <v>31</v>
      </c>
      <c r="C89" s="8">
        <v>1814</v>
      </c>
      <c r="D89" s="8">
        <v>157</v>
      </c>
      <c r="E89" s="8">
        <v>305827</v>
      </c>
      <c r="F89" s="8">
        <v>1.99</v>
      </c>
      <c r="G89" s="8">
        <v>46643</v>
      </c>
      <c r="H89">
        <f t="shared" si="1"/>
        <v>1657</v>
      </c>
      <c r="I89" t="str">
        <f t="array" ref="I89">IFERROR(
   INDEX(Cleaned_Campaign_Data!$B:$B,
         MATCH(1,
               (A89&gt;=Cleaned_Campaign_Data!$C:$C)*
               (A89&lt;=Cleaned_Campaign_Data!$D:$D),
               0)
        ),
   "No Campaign"
)</f>
        <v>FestiveRadiance</v>
      </c>
    </row>
    <row r="90" spans="1:9" ht="14.95" thickBot="1" x14ac:dyDescent="0.35">
      <c r="A90" s="15">
        <v>45600</v>
      </c>
      <c r="B90" s="7" t="s">
        <v>29</v>
      </c>
      <c r="C90" s="8">
        <v>1466</v>
      </c>
      <c r="D90" s="8">
        <v>69</v>
      </c>
      <c r="E90" s="8">
        <v>54935</v>
      </c>
      <c r="F90" s="8">
        <v>6.85</v>
      </c>
      <c r="G90" s="8">
        <v>36484</v>
      </c>
      <c r="H90">
        <f t="shared" si="1"/>
        <v>1397</v>
      </c>
      <c r="I90" t="str">
        <f t="array" ref="I90">IFERROR(
   INDEX(Cleaned_Campaign_Data!$B:$B,
         MATCH(1,
               (A90&gt;=Cleaned_Campaign_Data!$C:$C)*
               (A90&lt;=Cleaned_Campaign_Data!$D:$D),
               0)
        ),
   "No Campaign"
)</f>
        <v>No Campaign</v>
      </c>
    </row>
    <row r="91" spans="1:9" ht="14.95" thickBot="1" x14ac:dyDescent="0.35">
      <c r="A91" s="15">
        <v>45600</v>
      </c>
      <c r="B91" s="7" t="s">
        <v>30</v>
      </c>
      <c r="C91" s="8">
        <v>947</v>
      </c>
      <c r="D91" s="8">
        <v>407</v>
      </c>
      <c r="E91" s="8">
        <v>319186</v>
      </c>
      <c r="F91" s="8">
        <v>3.32</v>
      </c>
      <c r="G91" s="8">
        <v>4996</v>
      </c>
      <c r="H91">
        <f t="shared" si="1"/>
        <v>540</v>
      </c>
      <c r="I91" t="str">
        <f t="array" ref="I91">IFERROR(
   INDEX(Cleaned_Campaign_Data!$B:$B,
         MATCH(1,
               (A91&gt;=Cleaned_Campaign_Data!$C:$C)*
               (A91&lt;=Cleaned_Campaign_Data!$D:$D),
               0)
        ),
   "No Campaign"
)</f>
        <v>No Campaign</v>
      </c>
    </row>
    <row r="92" spans="1:9" ht="14.95" thickBot="1" x14ac:dyDescent="0.35">
      <c r="A92" s="15">
        <v>45600</v>
      </c>
      <c r="B92" s="7" t="s">
        <v>32</v>
      </c>
      <c r="C92" s="8">
        <v>1821</v>
      </c>
      <c r="D92" s="8">
        <v>218</v>
      </c>
      <c r="E92" s="8">
        <v>439080</v>
      </c>
      <c r="F92" s="8">
        <v>5.68</v>
      </c>
      <c r="G92" s="8">
        <v>36095</v>
      </c>
      <c r="H92">
        <f t="shared" si="1"/>
        <v>1603</v>
      </c>
      <c r="I92" t="str">
        <f t="array" ref="I92">IFERROR(
   INDEX(Cleaned_Campaign_Data!$B:$B,
         MATCH(1,
               (A92&gt;=Cleaned_Campaign_Data!$C:$C)*
               (A92&lt;=Cleaned_Campaign_Data!$D:$D),
               0)
        ),
   "No Campaign"
)</f>
        <v>No Campaign</v>
      </c>
    </row>
    <row r="93" spans="1:9" ht="14.95" thickBot="1" x14ac:dyDescent="0.35">
      <c r="A93" s="15">
        <v>45600</v>
      </c>
      <c r="B93" s="7" t="s">
        <v>31</v>
      </c>
      <c r="C93" s="8">
        <v>1507</v>
      </c>
      <c r="D93" s="8">
        <v>463</v>
      </c>
      <c r="E93" s="8">
        <v>258944</v>
      </c>
      <c r="F93" s="8">
        <v>6.08</v>
      </c>
      <c r="G93" s="8">
        <v>16443</v>
      </c>
      <c r="H93">
        <f t="shared" si="1"/>
        <v>1044</v>
      </c>
      <c r="I93" t="str">
        <f t="array" ref="I93">IFERROR(
   INDEX(Cleaned_Campaign_Data!$B:$B,
         MATCH(1,
               (A93&gt;=Cleaned_Campaign_Data!$C:$C)*
               (A93&lt;=Cleaned_Campaign_Data!$D:$D),
               0)
        ),
   "No Campaign"
)</f>
        <v>No Campaign</v>
      </c>
    </row>
    <row r="94" spans="1:9" ht="14.95" thickBot="1" x14ac:dyDescent="0.35">
      <c r="A94" s="15">
        <v>45607</v>
      </c>
      <c r="B94" s="7" t="s">
        <v>29</v>
      </c>
      <c r="C94" s="8">
        <v>1075</v>
      </c>
      <c r="D94" s="8">
        <v>173</v>
      </c>
      <c r="E94" s="8">
        <v>51395</v>
      </c>
      <c r="F94" s="8">
        <v>4.66</v>
      </c>
      <c r="G94" s="8">
        <v>47812</v>
      </c>
      <c r="H94">
        <f t="shared" si="1"/>
        <v>902</v>
      </c>
      <c r="I94" t="str">
        <f t="array" ref="I94">IFERROR(
   INDEX(Cleaned_Campaign_Data!$B:$B,
         MATCH(1,
               (A94&gt;=Cleaned_Campaign_Data!$C:$C)*
               (A94&lt;=Cleaned_Campaign_Data!$D:$D),
               0)
        ),
   "No Campaign"
)</f>
        <v>No Campaign</v>
      </c>
    </row>
    <row r="95" spans="1:9" ht="14.95" thickBot="1" x14ac:dyDescent="0.35">
      <c r="A95" s="15">
        <v>45607</v>
      </c>
      <c r="B95" s="7" t="s">
        <v>30</v>
      </c>
      <c r="C95" s="8">
        <v>171</v>
      </c>
      <c r="D95" s="8">
        <v>277</v>
      </c>
      <c r="E95" s="8">
        <v>309483</v>
      </c>
      <c r="F95" s="8">
        <v>8.6999999999999993</v>
      </c>
      <c r="G95" s="8">
        <v>38452</v>
      </c>
      <c r="H95">
        <f t="shared" si="1"/>
        <v>-106</v>
      </c>
      <c r="I95" t="str">
        <f t="array" ref="I95">IFERROR(
   INDEX(Cleaned_Campaign_Data!$B:$B,
         MATCH(1,
               (A95&gt;=Cleaned_Campaign_Data!$C:$C)*
               (A95&lt;=Cleaned_Campaign_Data!$D:$D),
               0)
        ),
   "No Campaign"
)</f>
        <v>No Campaign</v>
      </c>
    </row>
    <row r="96" spans="1:9" ht="14.95" thickBot="1" x14ac:dyDescent="0.35">
      <c r="A96" s="15">
        <v>45607</v>
      </c>
      <c r="B96" s="7" t="s">
        <v>32</v>
      </c>
      <c r="C96" s="8">
        <v>1487</v>
      </c>
      <c r="D96" s="8">
        <v>337</v>
      </c>
      <c r="E96" s="8">
        <v>87305</v>
      </c>
      <c r="F96" s="8">
        <v>2.46</v>
      </c>
      <c r="G96" s="8">
        <v>30428</v>
      </c>
      <c r="H96">
        <f t="shared" si="1"/>
        <v>1150</v>
      </c>
      <c r="I96" t="str">
        <f t="array" ref="I96">IFERROR(
   INDEX(Cleaned_Campaign_Data!$B:$B,
         MATCH(1,
               (A96&gt;=Cleaned_Campaign_Data!$C:$C)*
               (A96&lt;=Cleaned_Campaign_Data!$D:$D),
               0)
        ),
   "No Campaign"
)</f>
        <v>No Campaign</v>
      </c>
    </row>
    <row r="97" spans="1:9" ht="14.95" thickBot="1" x14ac:dyDescent="0.35">
      <c r="A97" s="15">
        <v>45607</v>
      </c>
      <c r="B97" s="7" t="s">
        <v>31</v>
      </c>
      <c r="C97" s="8">
        <v>454</v>
      </c>
      <c r="D97" s="8">
        <v>105</v>
      </c>
      <c r="E97" s="8">
        <v>121091</v>
      </c>
      <c r="F97" s="8">
        <v>7.97</v>
      </c>
      <c r="G97" s="8">
        <v>9269</v>
      </c>
      <c r="H97">
        <f t="shared" si="1"/>
        <v>349</v>
      </c>
      <c r="I97" t="str">
        <f t="array" ref="I97">IFERROR(
   INDEX(Cleaned_Campaign_Data!$B:$B,
         MATCH(1,
               (A97&gt;=Cleaned_Campaign_Data!$C:$C)*
               (A97&lt;=Cleaned_Campaign_Data!$D:$D),
               0)
        ),
   "No Campaign"
)</f>
        <v>No Campaign</v>
      </c>
    </row>
    <row r="98" spans="1:9" ht="14.95" thickBot="1" x14ac:dyDescent="0.35">
      <c r="A98" s="15">
        <v>45614</v>
      </c>
      <c r="B98" s="7" t="s">
        <v>29</v>
      </c>
      <c r="C98" s="8">
        <v>187</v>
      </c>
      <c r="D98" s="8">
        <v>236</v>
      </c>
      <c r="E98" s="8">
        <v>51087</v>
      </c>
      <c r="F98" s="8">
        <v>9.41</v>
      </c>
      <c r="G98" s="8">
        <v>29533</v>
      </c>
      <c r="H98">
        <f t="shared" si="1"/>
        <v>-49</v>
      </c>
      <c r="I98" t="str">
        <f t="array" ref="I98">IFERROR(
   INDEX(Cleaned_Campaign_Data!$B:$B,
         MATCH(1,
               (A98&gt;=Cleaned_Campaign_Data!$C:$C)*
               (A98&lt;=Cleaned_Campaign_Data!$D:$D),
               0)
        ),
   "No Campaign"
)</f>
        <v>No Campaign</v>
      </c>
    </row>
    <row r="99" spans="1:9" ht="14.95" thickBot="1" x14ac:dyDescent="0.35">
      <c r="A99" s="15">
        <v>45614</v>
      </c>
      <c r="B99" s="7" t="s">
        <v>30</v>
      </c>
      <c r="C99" s="8">
        <v>513</v>
      </c>
      <c r="D99" s="8">
        <v>441</v>
      </c>
      <c r="E99" s="8">
        <v>338847</v>
      </c>
      <c r="F99" s="8">
        <v>2.68</v>
      </c>
      <c r="G99" s="8">
        <v>39997</v>
      </c>
      <c r="H99">
        <f t="shared" si="1"/>
        <v>72</v>
      </c>
      <c r="I99" t="str">
        <f t="array" ref="I99">IFERROR(
   INDEX(Cleaned_Campaign_Data!$B:$B,
         MATCH(1,
               (A99&gt;=Cleaned_Campaign_Data!$C:$C)*
               (A99&lt;=Cleaned_Campaign_Data!$D:$D),
               0)
        ),
   "No Campaign"
)</f>
        <v>No Campaign</v>
      </c>
    </row>
    <row r="100" spans="1:9" ht="14.95" thickBot="1" x14ac:dyDescent="0.35">
      <c r="A100" s="15">
        <v>45614</v>
      </c>
      <c r="B100" s="7" t="s">
        <v>32</v>
      </c>
      <c r="C100" s="8">
        <v>628</v>
      </c>
      <c r="D100" s="8">
        <v>183</v>
      </c>
      <c r="E100" s="8">
        <v>487523</v>
      </c>
      <c r="F100" s="8">
        <v>7.32</v>
      </c>
      <c r="G100" s="8">
        <v>5391</v>
      </c>
      <c r="H100">
        <f t="shared" si="1"/>
        <v>445</v>
      </c>
      <c r="I100" t="str">
        <f t="array" ref="I100">IFERROR(
   INDEX(Cleaned_Campaign_Data!$B:$B,
         MATCH(1,
               (A100&gt;=Cleaned_Campaign_Data!$C:$C)*
               (A100&lt;=Cleaned_Campaign_Data!$D:$D),
               0)
        ),
   "No Campaign"
)</f>
        <v>No Campaign</v>
      </c>
    </row>
    <row r="101" spans="1:9" ht="14.95" thickBot="1" x14ac:dyDescent="0.35">
      <c r="A101" s="15">
        <v>45614</v>
      </c>
      <c r="B101" s="7" t="s">
        <v>31</v>
      </c>
      <c r="C101" s="8">
        <v>278</v>
      </c>
      <c r="D101" s="8">
        <v>218</v>
      </c>
      <c r="E101" s="8">
        <v>301695</v>
      </c>
      <c r="F101" s="8">
        <v>4.68</v>
      </c>
      <c r="G101" s="8">
        <v>22373</v>
      </c>
      <c r="H101">
        <f t="shared" si="1"/>
        <v>60</v>
      </c>
      <c r="I101" t="str">
        <f t="array" ref="I101">IFERROR(
   INDEX(Cleaned_Campaign_Data!$B:$B,
         MATCH(1,
               (A101&gt;=Cleaned_Campaign_Data!$C:$C)*
               (A101&lt;=Cleaned_Campaign_Data!$D:$D),
               0)
        ),
   "No Campaign"
)</f>
        <v>No Campaign</v>
      </c>
    </row>
    <row r="102" spans="1:9" ht="14.95" thickBot="1" x14ac:dyDescent="0.35">
      <c r="A102" s="15">
        <v>45621</v>
      </c>
      <c r="B102" s="7" t="s">
        <v>29</v>
      </c>
      <c r="C102" s="8">
        <v>1854</v>
      </c>
      <c r="D102" s="8">
        <v>161</v>
      </c>
      <c r="E102" s="8">
        <v>282466</v>
      </c>
      <c r="F102" s="8">
        <v>5.17</v>
      </c>
      <c r="G102" s="8">
        <v>1810</v>
      </c>
      <c r="H102">
        <f t="shared" si="1"/>
        <v>1693</v>
      </c>
      <c r="I102" t="str">
        <f t="array" ref="I102">IFERROR(
   INDEX(Cleaned_Campaign_Data!$B:$B,
         MATCH(1,
               (A102&gt;=Cleaned_Campaign_Data!$C:$C)*
               (A102&lt;=Cleaned_Campaign_Data!$D:$D),
               0)
        ),
   "No Campaign"
)</f>
        <v>No Campaign</v>
      </c>
    </row>
    <row r="103" spans="1:9" ht="14.95" thickBot="1" x14ac:dyDescent="0.35">
      <c r="A103" s="15">
        <v>45621</v>
      </c>
      <c r="B103" s="7" t="s">
        <v>30</v>
      </c>
      <c r="C103" s="8">
        <v>1710</v>
      </c>
      <c r="D103" s="8">
        <v>378</v>
      </c>
      <c r="E103" s="8">
        <v>336661</v>
      </c>
      <c r="F103" s="8">
        <v>6.2</v>
      </c>
      <c r="G103" s="8">
        <v>28498</v>
      </c>
      <c r="H103">
        <f t="shared" si="1"/>
        <v>1332</v>
      </c>
      <c r="I103" t="str">
        <f t="array" ref="I103">IFERROR(
   INDEX(Cleaned_Campaign_Data!$B:$B,
         MATCH(1,
               (A103&gt;=Cleaned_Campaign_Data!$C:$C)*
               (A103&lt;=Cleaned_Campaign_Data!$D:$D),
               0)
        ),
   "No Campaign"
)</f>
        <v>No Campaign</v>
      </c>
    </row>
    <row r="104" spans="1:9" ht="14.95" thickBot="1" x14ac:dyDescent="0.35">
      <c r="A104" s="15">
        <v>45621</v>
      </c>
      <c r="B104" s="7" t="s">
        <v>32</v>
      </c>
      <c r="C104" s="8">
        <v>330</v>
      </c>
      <c r="D104" s="8">
        <v>232</v>
      </c>
      <c r="E104" s="8">
        <v>88455</v>
      </c>
      <c r="F104" s="8">
        <v>2.69</v>
      </c>
      <c r="G104" s="8">
        <v>39530</v>
      </c>
      <c r="H104">
        <f t="shared" si="1"/>
        <v>98</v>
      </c>
      <c r="I104" t="str">
        <f t="array" ref="I104">IFERROR(
   INDEX(Cleaned_Campaign_Data!$B:$B,
         MATCH(1,
               (A104&gt;=Cleaned_Campaign_Data!$C:$C)*
               (A104&lt;=Cleaned_Campaign_Data!$D:$D),
               0)
        ),
   "No Campaign"
)</f>
        <v>No Campaign</v>
      </c>
    </row>
    <row r="105" spans="1:9" ht="14.95" thickBot="1" x14ac:dyDescent="0.35">
      <c r="A105" s="15">
        <v>45621</v>
      </c>
      <c r="B105" s="7" t="s">
        <v>31</v>
      </c>
      <c r="C105" s="8">
        <v>1293</v>
      </c>
      <c r="D105" s="8">
        <v>408</v>
      </c>
      <c r="E105" s="8">
        <v>62535</v>
      </c>
      <c r="F105" s="8">
        <v>8.9</v>
      </c>
      <c r="G105" s="8">
        <v>37876</v>
      </c>
      <c r="H105">
        <f t="shared" si="1"/>
        <v>885</v>
      </c>
      <c r="I105" t="str">
        <f t="array" ref="I105">IFERROR(
   INDEX(Cleaned_Campaign_Data!$B:$B,
         MATCH(1,
               (A105&gt;=Cleaned_Campaign_Data!$C:$C)*
               (A105&lt;=Cleaned_Campaign_Data!$D:$D),
               0)
        ),
   "No Campaign"
)</f>
        <v>No Campaign</v>
      </c>
    </row>
    <row r="106" spans="1:9" ht="14.95" thickBot="1" x14ac:dyDescent="0.35">
      <c r="A106" s="15">
        <v>45628</v>
      </c>
      <c r="B106" s="7" t="s">
        <v>29</v>
      </c>
      <c r="C106" s="8">
        <v>1696</v>
      </c>
      <c r="D106" s="8">
        <v>71</v>
      </c>
      <c r="E106" s="8">
        <v>421957</v>
      </c>
      <c r="F106" s="8">
        <v>3.79</v>
      </c>
      <c r="G106" s="8">
        <v>36103</v>
      </c>
      <c r="H106">
        <f t="shared" si="1"/>
        <v>1625</v>
      </c>
      <c r="I106" t="str">
        <f t="array" ref="I106">IFERROR(
   INDEX(Cleaned_Campaign_Data!$B:$B,
         MATCH(1,
               (A106&gt;=Cleaned_Campaign_Data!$C:$C)*
               (A106&lt;=Cleaned_Campaign_Data!$D:$D),
               0)
        ),
   "No Campaign"
)</f>
        <v>No Campaign</v>
      </c>
    </row>
    <row r="107" spans="1:9" ht="14.95" thickBot="1" x14ac:dyDescent="0.35">
      <c r="A107" s="15">
        <v>45628</v>
      </c>
      <c r="B107" s="7" t="s">
        <v>30</v>
      </c>
      <c r="C107" s="8">
        <v>1902</v>
      </c>
      <c r="D107" s="8">
        <v>196</v>
      </c>
      <c r="E107" s="8">
        <v>470269</v>
      </c>
      <c r="F107" s="8">
        <v>4.79</v>
      </c>
      <c r="G107" s="8">
        <v>26103</v>
      </c>
      <c r="H107">
        <f t="shared" si="1"/>
        <v>1706</v>
      </c>
      <c r="I107" t="str">
        <f t="array" ref="I107">IFERROR(
   INDEX(Cleaned_Campaign_Data!$B:$B,
         MATCH(1,
               (A107&gt;=Cleaned_Campaign_Data!$C:$C)*
               (A107&lt;=Cleaned_Campaign_Data!$D:$D),
               0)
        ),
   "No Campaign"
)</f>
        <v>No Campaign</v>
      </c>
    </row>
    <row r="108" spans="1:9" ht="14.95" thickBot="1" x14ac:dyDescent="0.35">
      <c r="A108" s="15">
        <v>45628</v>
      </c>
      <c r="B108" s="7" t="s">
        <v>32</v>
      </c>
      <c r="C108" s="8">
        <v>1441</v>
      </c>
      <c r="D108" s="8">
        <v>268</v>
      </c>
      <c r="E108" s="8">
        <v>309904</v>
      </c>
      <c r="F108" s="8">
        <v>6.37</v>
      </c>
      <c r="G108" s="8">
        <v>3455</v>
      </c>
      <c r="H108">
        <f t="shared" si="1"/>
        <v>1173</v>
      </c>
      <c r="I108" t="str">
        <f t="array" ref="I108">IFERROR(
   INDEX(Cleaned_Campaign_Data!$B:$B,
         MATCH(1,
               (A108&gt;=Cleaned_Campaign_Data!$C:$C)*
               (A108&lt;=Cleaned_Campaign_Data!$D:$D),
               0)
        ),
   "No Campaign"
)</f>
        <v>No Campaign</v>
      </c>
    </row>
    <row r="109" spans="1:9" ht="14.95" thickBot="1" x14ac:dyDescent="0.35">
      <c r="A109" s="15">
        <v>45628</v>
      </c>
      <c r="B109" s="7" t="s">
        <v>31</v>
      </c>
      <c r="C109" s="8">
        <v>452</v>
      </c>
      <c r="D109" s="8">
        <v>161</v>
      </c>
      <c r="E109" s="8">
        <v>221274</v>
      </c>
      <c r="F109" s="8">
        <v>2.65</v>
      </c>
      <c r="G109" s="8">
        <v>40888</v>
      </c>
      <c r="H109">
        <f t="shared" si="1"/>
        <v>291</v>
      </c>
      <c r="I109" t="str">
        <f t="array" ref="I109">IFERROR(
   INDEX(Cleaned_Campaign_Data!$B:$B,
         MATCH(1,
               (A109&gt;=Cleaned_Campaign_Data!$C:$C)*
               (A109&lt;=Cleaned_Campaign_Data!$D:$D),
               0)
        ),
   "No Campaign"
)</f>
        <v>No Campaign</v>
      </c>
    </row>
    <row r="110" spans="1:9" ht="14.95" thickBot="1" x14ac:dyDescent="0.35">
      <c r="A110" s="15">
        <v>45635</v>
      </c>
      <c r="B110" s="7" t="s">
        <v>29</v>
      </c>
      <c r="C110" s="8">
        <v>1494</v>
      </c>
      <c r="D110" s="8">
        <v>375</v>
      </c>
      <c r="E110" s="8">
        <v>220616</v>
      </c>
      <c r="F110" s="8">
        <v>1.81</v>
      </c>
      <c r="G110" s="8">
        <v>22724</v>
      </c>
      <c r="H110">
        <f t="shared" si="1"/>
        <v>1119</v>
      </c>
      <c r="I110" t="str">
        <f t="array" ref="I110">IFERROR(
   INDEX(Cleaned_Campaign_Data!$B:$B,
         MATCH(1,
               (A110&gt;=Cleaned_Campaign_Data!$C:$C)*
               (A110&lt;=Cleaned_Campaign_Data!$D:$D),
               0)
        ),
   "No Campaign"
)</f>
        <v>No Campaign</v>
      </c>
    </row>
    <row r="111" spans="1:9" ht="14.95" thickBot="1" x14ac:dyDescent="0.35">
      <c r="A111" s="15">
        <v>45635</v>
      </c>
      <c r="B111" s="7" t="s">
        <v>30</v>
      </c>
      <c r="C111" s="8">
        <v>1514</v>
      </c>
      <c r="D111" s="8">
        <v>141</v>
      </c>
      <c r="E111" s="8">
        <v>35842</v>
      </c>
      <c r="F111" s="8">
        <v>7.47</v>
      </c>
      <c r="G111" s="8">
        <v>18601</v>
      </c>
      <c r="H111">
        <f t="shared" si="1"/>
        <v>1373</v>
      </c>
      <c r="I111" t="str">
        <f t="array" ref="I111">IFERROR(
   INDEX(Cleaned_Campaign_Data!$B:$B,
         MATCH(1,
               (A111&gt;=Cleaned_Campaign_Data!$C:$C)*
               (A111&lt;=Cleaned_Campaign_Data!$D:$D),
               0)
        ),
   "No Campaign"
)</f>
        <v>No Campaign</v>
      </c>
    </row>
    <row r="112" spans="1:9" ht="14.95" thickBot="1" x14ac:dyDescent="0.35">
      <c r="A112" s="15">
        <v>45635</v>
      </c>
      <c r="B112" s="7" t="s">
        <v>32</v>
      </c>
      <c r="C112" s="8">
        <v>1937</v>
      </c>
      <c r="D112" s="8">
        <v>210</v>
      </c>
      <c r="E112" s="8">
        <v>20607</v>
      </c>
      <c r="F112" s="8">
        <v>4.2</v>
      </c>
      <c r="G112" s="8">
        <v>20861</v>
      </c>
      <c r="H112">
        <f t="shared" si="1"/>
        <v>1727</v>
      </c>
      <c r="I112" t="str">
        <f t="array" ref="I112">IFERROR(
   INDEX(Cleaned_Campaign_Data!$B:$B,
         MATCH(1,
               (A112&gt;=Cleaned_Campaign_Data!$C:$C)*
               (A112&lt;=Cleaned_Campaign_Data!$D:$D),
               0)
        ),
   "No Campaign"
)</f>
        <v>No Campaign</v>
      </c>
    </row>
    <row r="113" spans="1:9" ht="14.95" thickBot="1" x14ac:dyDescent="0.35">
      <c r="A113" s="15">
        <v>45635</v>
      </c>
      <c r="B113" s="7" t="s">
        <v>31</v>
      </c>
      <c r="C113" s="8">
        <v>736</v>
      </c>
      <c r="D113" s="8">
        <v>163</v>
      </c>
      <c r="E113" s="8">
        <v>451894</v>
      </c>
      <c r="F113" s="8">
        <v>5.43</v>
      </c>
      <c r="G113" s="8">
        <v>46625</v>
      </c>
      <c r="H113">
        <f t="shared" si="1"/>
        <v>573</v>
      </c>
      <c r="I113" t="str">
        <f t="array" ref="I113">IFERROR(
   INDEX(Cleaned_Campaign_Data!$B:$B,
         MATCH(1,
               (A113&gt;=Cleaned_Campaign_Data!$C:$C)*
               (A113&lt;=Cleaned_Campaign_Data!$D:$D),
               0)
        ),
   "No Campaign"
)</f>
        <v>No Campaign</v>
      </c>
    </row>
    <row r="114" spans="1:9" ht="14.95" thickBot="1" x14ac:dyDescent="0.35">
      <c r="A114" s="15">
        <v>45642</v>
      </c>
      <c r="B114" s="7" t="s">
        <v>29</v>
      </c>
      <c r="C114" s="8">
        <v>1502</v>
      </c>
      <c r="D114" s="8">
        <v>70</v>
      </c>
      <c r="E114" s="8">
        <v>465553</v>
      </c>
      <c r="F114" s="8">
        <v>3.32</v>
      </c>
      <c r="G114" s="8">
        <v>20692</v>
      </c>
      <c r="H114">
        <f t="shared" si="1"/>
        <v>1432</v>
      </c>
      <c r="I114" t="str">
        <f t="array" ref="I114">IFERROR(
   INDEX(Cleaned_Campaign_Data!$B:$B,
         MATCH(1,
               (A114&gt;=Cleaned_Campaign_Data!$C:$C)*
               (A114&lt;=Cleaned_Campaign_Data!$D:$D),
               0)
        ),
   "No Campaign"
)</f>
        <v>No Campaign</v>
      </c>
    </row>
    <row r="115" spans="1:9" ht="14.95" thickBot="1" x14ac:dyDescent="0.35">
      <c r="A115" s="15">
        <v>45642</v>
      </c>
      <c r="B115" s="7" t="s">
        <v>30</v>
      </c>
      <c r="C115" s="8">
        <v>1623</v>
      </c>
      <c r="D115" s="8">
        <v>246</v>
      </c>
      <c r="E115" s="8">
        <v>415815</v>
      </c>
      <c r="F115" s="8">
        <v>8.11</v>
      </c>
      <c r="G115" s="8">
        <v>18656</v>
      </c>
      <c r="H115">
        <f t="shared" si="1"/>
        <v>1377</v>
      </c>
      <c r="I115" t="str">
        <f t="array" ref="I115">IFERROR(
   INDEX(Cleaned_Campaign_Data!$B:$B,
         MATCH(1,
               (A115&gt;=Cleaned_Campaign_Data!$C:$C)*
               (A115&lt;=Cleaned_Campaign_Data!$D:$D),
               0)
        ),
   "No Campaign"
)</f>
        <v>No Campaign</v>
      </c>
    </row>
    <row r="116" spans="1:9" ht="14.95" thickBot="1" x14ac:dyDescent="0.35">
      <c r="A116" s="15">
        <v>45642</v>
      </c>
      <c r="B116" s="7" t="s">
        <v>32</v>
      </c>
      <c r="C116" s="8">
        <v>1592</v>
      </c>
      <c r="D116" s="8">
        <v>233</v>
      </c>
      <c r="E116" s="8">
        <v>327183</v>
      </c>
      <c r="F116" s="8">
        <v>6.66</v>
      </c>
      <c r="G116" s="8">
        <v>13316</v>
      </c>
      <c r="H116">
        <f t="shared" si="1"/>
        <v>1359</v>
      </c>
      <c r="I116" t="str">
        <f t="array" ref="I116">IFERROR(
   INDEX(Cleaned_Campaign_Data!$B:$B,
         MATCH(1,
               (A116&gt;=Cleaned_Campaign_Data!$C:$C)*
               (A116&lt;=Cleaned_Campaign_Data!$D:$D),
               0)
        ),
   "No Campaign"
)</f>
        <v>No Campaign</v>
      </c>
    </row>
    <row r="117" spans="1:9" ht="14.95" thickBot="1" x14ac:dyDescent="0.35">
      <c r="A117" s="15">
        <v>45642</v>
      </c>
      <c r="B117" s="7" t="s">
        <v>31</v>
      </c>
      <c r="C117" s="8">
        <v>1004</v>
      </c>
      <c r="D117" s="8">
        <v>128</v>
      </c>
      <c r="E117" s="8">
        <v>488901</v>
      </c>
      <c r="F117" s="8">
        <v>8.09</v>
      </c>
      <c r="G117" s="8">
        <v>49558</v>
      </c>
      <c r="H117">
        <f t="shared" si="1"/>
        <v>876</v>
      </c>
      <c r="I117" t="str">
        <f t="array" ref="I117">IFERROR(
   INDEX(Cleaned_Campaign_Data!$B:$B,
         MATCH(1,
               (A117&gt;=Cleaned_Campaign_Data!$C:$C)*
               (A117&lt;=Cleaned_Campaign_Data!$D:$D),
               0)
        ),
   "No Campaign"
)</f>
        <v>No Campaign</v>
      </c>
    </row>
    <row r="118" spans="1:9" ht="14.95" thickBot="1" x14ac:dyDescent="0.35">
      <c r="A118" s="15">
        <v>45649</v>
      </c>
      <c r="B118" s="7" t="s">
        <v>29</v>
      </c>
      <c r="C118" s="8">
        <v>1092</v>
      </c>
      <c r="D118" s="8">
        <v>408</v>
      </c>
      <c r="E118" s="8">
        <v>280795</v>
      </c>
      <c r="F118" s="8">
        <v>8.44</v>
      </c>
      <c r="G118" s="8">
        <v>4683</v>
      </c>
      <c r="H118">
        <f t="shared" si="1"/>
        <v>684</v>
      </c>
      <c r="I118" t="str">
        <f t="array" ref="I118">IFERROR(
   INDEX(Cleaned_Campaign_Data!$B:$B,
         MATCH(1,
               (A118&gt;=Cleaned_Campaign_Data!$C:$C)*
               (A118&lt;=Cleaned_Campaign_Data!$D:$D),
               0)
        ),
   "No Campaign"
)</f>
        <v>No Campaign</v>
      </c>
    </row>
    <row r="119" spans="1:9" ht="14.95" thickBot="1" x14ac:dyDescent="0.35">
      <c r="A119" s="15">
        <v>45649</v>
      </c>
      <c r="B119" s="7" t="s">
        <v>30</v>
      </c>
      <c r="C119" s="8">
        <v>1155</v>
      </c>
      <c r="D119" s="8">
        <v>425</v>
      </c>
      <c r="E119" s="8">
        <v>93347</v>
      </c>
      <c r="F119" s="8">
        <v>2.02</v>
      </c>
      <c r="G119" s="8">
        <v>47502</v>
      </c>
      <c r="H119">
        <f t="shared" si="1"/>
        <v>730</v>
      </c>
      <c r="I119" t="str">
        <f t="array" ref="I119">IFERROR(
   INDEX(Cleaned_Campaign_Data!$B:$B,
         MATCH(1,
               (A119&gt;=Cleaned_Campaign_Data!$C:$C)*
               (A119&lt;=Cleaned_Campaign_Data!$D:$D),
               0)
        ),
   "No Campaign"
)</f>
        <v>No Campaign</v>
      </c>
    </row>
    <row r="120" spans="1:9" ht="14.95" thickBot="1" x14ac:dyDescent="0.35">
      <c r="A120" s="15">
        <v>45649</v>
      </c>
      <c r="B120" s="7" t="s">
        <v>32</v>
      </c>
      <c r="C120" s="8">
        <v>1137</v>
      </c>
      <c r="D120" s="8">
        <v>226</v>
      </c>
      <c r="E120" s="8">
        <v>81119</v>
      </c>
      <c r="F120" s="8">
        <v>7.74</v>
      </c>
      <c r="G120" s="8">
        <v>35359</v>
      </c>
      <c r="H120">
        <f t="shared" si="1"/>
        <v>911</v>
      </c>
      <c r="I120" t="str">
        <f t="array" ref="I120">IFERROR(
   INDEX(Cleaned_Campaign_Data!$B:$B,
         MATCH(1,
               (A120&gt;=Cleaned_Campaign_Data!$C:$C)*
               (A120&lt;=Cleaned_Campaign_Data!$D:$D),
               0)
        ),
   "No Campaign"
)</f>
        <v>No Campaign</v>
      </c>
    </row>
    <row r="121" spans="1:9" ht="14.95" thickBot="1" x14ac:dyDescent="0.35">
      <c r="A121" s="15">
        <v>45649</v>
      </c>
      <c r="B121" s="7" t="s">
        <v>31</v>
      </c>
      <c r="C121" s="8">
        <v>1900</v>
      </c>
      <c r="D121" s="8">
        <v>311</v>
      </c>
      <c r="E121" s="8">
        <v>25177</v>
      </c>
      <c r="F121" s="8">
        <v>2.89</v>
      </c>
      <c r="G121" s="8">
        <v>14154</v>
      </c>
      <c r="H121">
        <f t="shared" si="1"/>
        <v>1589</v>
      </c>
      <c r="I121" t="str">
        <f t="array" ref="I121">IFERROR(
   INDEX(Cleaned_Campaign_Data!$B:$B,
         MATCH(1,
               (A121&gt;=Cleaned_Campaign_Data!$C:$C)*
               (A121&lt;=Cleaned_Campaign_Data!$D:$D),
               0)
        ),
   "No Campaign"
)</f>
        <v>No Campaign</v>
      </c>
    </row>
    <row r="122" spans="1:9" ht="14.95" thickBot="1" x14ac:dyDescent="0.35">
      <c r="A122" s="15">
        <v>45656</v>
      </c>
      <c r="B122" s="7" t="s">
        <v>29</v>
      </c>
      <c r="C122" s="8">
        <v>1814</v>
      </c>
      <c r="D122" s="8">
        <v>49</v>
      </c>
      <c r="E122" s="8">
        <v>140804</v>
      </c>
      <c r="F122" s="8">
        <v>1.76</v>
      </c>
      <c r="G122" s="8">
        <v>4313</v>
      </c>
      <c r="H122">
        <f t="shared" si="1"/>
        <v>1765</v>
      </c>
      <c r="I122" t="str">
        <f t="array" ref="I122">IFERROR(
   INDEX(Cleaned_Campaign_Data!$B:$B,
         MATCH(1,
               (A122&gt;=Cleaned_Campaign_Data!$C:$C)*
               (A122&lt;=Cleaned_Campaign_Data!$D:$D),
               0)
        ),
   "No Campaign"
)</f>
        <v>NewYearRefresh</v>
      </c>
    </row>
    <row r="123" spans="1:9" ht="14.95" thickBot="1" x14ac:dyDescent="0.35">
      <c r="A123" s="15">
        <v>45656</v>
      </c>
      <c r="B123" s="7" t="s">
        <v>30</v>
      </c>
      <c r="C123" s="8">
        <v>1980</v>
      </c>
      <c r="D123" s="8">
        <v>204</v>
      </c>
      <c r="E123" s="8">
        <v>379431</v>
      </c>
      <c r="F123" s="8">
        <v>3.09</v>
      </c>
      <c r="G123" s="8">
        <v>25140</v>
      </c>
      <c r="H123">
        <f t="shared" si="1"/>
        <v>1776</v>
      </c>
      <c r="I123" t="str">
        <f t="array" ref="I123">IFERROR(
   INDEX(Cleaned_Campaign_Data!$B:$B,
         MATCH(1,
               (A123&gt;=Cleaned_Campaign_Data!$C:$C)*
               (A123&lt;=Cleaned_Campaign_Data!$D:$D),
               0)
        ),
   "No Campaign"
)</f>
        <v>NewYearRefresh</v>
      </c>
    </row>
    <row r="124" spans="1:9" ht="14.95" thickBot="1" x14ac:dyDescent="0.35">
      <c r="A124" s="15">
        <v>45656</v>
      </c>
      <c r="B124" s="7" t="s">
        <v>32</v>
      </c>
      <c r="C124" s="8">
        <v>1786</v>
      </c>
      <c r="D124" s="8">
        <v>257</v>
      </c>
      <c r="E124" s="8">
        <v>274831</v>
      </c>
      <c r="F124" s="8">
        <v>4.68</v>
      </c>
      <c r="G124" s="8">
        <v>9118</v>
      </c>
      <c r="H124">
        <f t="shared" si="1"/>
        <v>1529</v>
      </c>
      <c r="I124" t="str">
        <f t="array" ref="I124">IFERROR(
   INDEX(Cleaned_Campaign_Data!$B:$B,
         MATCH(1,
               (A124&gt;=Cleaned_Campaign_Data!$C:$C)*
               (A124&lt;=Cleaned_Campaign_Data!$D:$D),
               0)
        ),
   "No Campaign"
)</f>
        <v>NewYearRefresh</v>
      </c>
    </row>
    <row r="125" spans="1:9" ht="14.95" thickBot="1" x14ac:dyDescent="0.35">
      <c r="A125" s="15">
        <v>45656</v>
      </c>
      <c r="B125" s="7" t="s">
        <v>31</v>
      </c>
      <c r="C125" s="8">
        <v>1495</v>
      </c>
      <c r="D125" s="8">
        <v>35</v>
      </c>
      <c r="E125" s="8">
        <v>136845</v>
      </c>
      <c r="F125" s="8">
        <v>4.4800000000000004</v>
      </c>
      <c r="G125" s="8">
        <v>39931</v>
      </c>
      <c r="H125">
        <f t="shared" si="1"/>
        <v>1460</v>
      </c>
      <c r="I125" t="str">
        <f t="array" ref="I125">IFERROR(
   INDEX(Cleaned_Campaign_Data!$B:$B,
         MATCH(1,
               (A125&gt;=Cleaned_Campaign_Data!$C:$C)*
               (A125&lt;=Cleaned_Campaign_Data!$D:$D),
               0)
        ),
   "No Campaign"
)</f>
        <v>NewYearRefresh</v>
      </c>
    </row>
    <row r="126" spans="1:9" ht="14.95" thickBot="1" x14ac:dyDescent="0.35">
      <c r="A126" s="15">
        <v>45663</v>
      </c>
      <c r="B126" s="7" t="s">
        <v>29</v>
      </c>
      <c r="C126" s="8">
        <v>1013</v>
      </c>
      <c r="D126" s="8">
        <v>110</v>
      </c>
      <c r="E126" s="8">
        <v>466382</v>
      </c>
      <c r="F126" s="8">
        <v>5.3</v>
      </c>
      <c r="G126" s="8">
        <v>37132</v>
      </c>
      <c r="H126">
        <f t="shared" si="1"/>
        <v>903</v>
      </c>
      <c r="I126" t="str">
        <f t="array" ref="I126">IFERROR(
   INDEX(Cleaned_Campaign_Data!$B:$B,
         MATCH(1,
               (A126&gt;=Cleaned_Campaign_Data!$C:$C)*
               (A126&lt;=Cleaned_Campaign_Data!$D:$D),
               0)
        ),
   "No Campaign"
)</f>
        <v>NewYearRefresh</v>
      </c>
    </row>
    <row r="127" spans="1:9" ht="14.95" thickBot="1" x14ac:dyDescent="0.35">
      <c r="A127" s="15">
        <v>45663</v>
      </c>
      <c r="B127" s="7" t="s">
        <v>30</v>
      </c>
      <c r="C127" s="8">
        <v>816</v>
      </c>
      <c r="D127" s="8">
        <v>196</v>
      </c>
      <c r="E127" s="8">
        <v>95728</v>
      </c>
      <c r="F127" s="8">
        <v>8.1999999999999993</v>
      </c>
      <c r="G127" s="8">
        <v>17951</v>
      </c>
      <c r="H127">
        <f t="shared" si="1"/>
        <v>620</v>
      </c>
      <c r="I127" t="str">
        <f t="array" ref="I127">IFERROR(
   INDEX(Cleaned_Campaign_Data!$B:$B,
         MATCH(1,
               (A127&gt;=Cleaned_Campaign_Data!$C:$C)*
               (A127&lt;=Cleaned_Campaign_Data!$D:$D),
               0)
        ),
   "No Campaign"
)</f>
        <v>NewYearRefresh</v>
      </c>
    </row>
    <row r="128" spans="1:9" ht="14.95" thickBot="1" x14ac:dyDescent="0.35">
      <c r="A128" s="15">
        <v>45663</v>
      </c>
      <c r="B128" s="7" t="s">
        <v>32</v>
      </c>
      <c r="C128" s="8">
        <v>1633</v>
      </c>
      <c r="D128" s="8">
        <v>445</v>
      </c>
      <c r="E128" s="8">
        <v>371156</v>
      </c>
      <c r="F128" s="8">
        <v>2.2200000000000002</v>
      </c>
      <c r="G128" s="8">
        <v>2798</v>
      </c>
      <c r="H128">
        <f t="shared" si="1"/>
        <v>1188</v>
      </c>
      <c r="I128" t="str">
        <f t="array" ref="I128">IFERROR(
   INDEX(Cleaned_Campaign_Data!$B:$B,
         MATCH(1,
               (A128&gt;=Cleaned_Campaign_Data!$C:$C)*
               (A128&lt;=Cleaned_Campaign_Data!$D:$D),
               0)
        ),
   "No Campaign"
)</f>
        <v>NewYearRefresh</v>
      </c>
    </row>
    <row r="129" spans="1:9" ht="14.95" thickBot="1" x14ac:dyDescent="0.35">
      <c r="A129" s="15">
        <v>45663</v>
      </c>
      <c r="B129" s="7" t="s">
        <v>31</v>
      </c>
      <c r="C129" s="8">
        <v>891</v>
      </c>
      <c r="D129" s="8">
        <v>45</v>
      </c>
      <c r="E129" s="8">
        <v>95410</v>
      </c>
      <c r="F129" s="8">
        <v>8.33</v>
      </c>
      <c r="G129" s="8">
        <v>15045</v>
      </c>
      <c r="H129">
        <f t="shared" si="1"/>
        <v>846</v>
      </c>
      <c r="I129" t="str">
        <f t="array" ref="I129">IFERROR(
   INDEX(Cleaned_Campaign_Data!$B:$B,
         MATCH(1,
               (A129&gt;=Cleaned_Campaign_Data!$C:$C)*
               (A129&lt;=Cleaned_Campaign_Data!$D:$D),
               0)
        ),
   "No Campaign"
)</f>
        <v>NewYearRefresh</v>
      </c>
    </row>
    <row r="130" spans="1:9" ht="14.95" thickBot="1" x14ac:dyDescent="0.35">
      <c r="A130" s="15">
        <v>45670</v>
      </c>
      <c r="B130" s="7" t="s">
        <v>29</v>
      </c>
      <c r="C130" s="8">
        <v>1855</v>
      </c>
      <c r="D130" s="8">
        <v>133</v>
      </c>
      <c r="E130" s="8">
        <v>349413</v>
      </c>
      <c r="F130" s="8">
        <v>3.3</v>
      </c>
      <c r="G130" s="8">
        <v>14548</v>
      </c>
      <c r="H130">
        <f t="shared" si="1"/>
        <v>1722</v>
      </c>
      <c r="I130" t="str">
        <f t="array" ref="I130">IFERROR(
   INDEX(Cleaned_Campaign_Data!$B:$B,
         MATCH(1,
               (A130&gt;=Cleaned_Campaign_Data!$C:$C)*
               (A130&lt;=Cleaned_Campaign_Data!$D:$D),
               0)
        ),
   "No Campaign"
)</f>
        <v>No Campaign</v>
      </c>
    </row>
    <row r="131" spans="1:9" ht="14.95" thickBot="1" x14ac:dyDescent="0.35">
      <c r="A131" s="15">
        <v>45670</v>
      </c>
      <c r="B131" s="7" t="s">
        <v>30</v>
      </c>
      <c r="C131" s="8">
        <v>651</v>
      </c>
      <c r="D131" s="8">
        <v>353</v>
      </c>
      <c r="E131" s="8">
        <v>224699</v>
      </c>
      <c r="F131" s="8">
        <v>5.61</v>
      </c>
      <c r="G131" s="8">
        <v>45708</v>
      </c>
      <c r="H131">
        <f t="shared" ref="H131:H194" si="2" xml:space="preserve"> C131 - D131</f>
        <v>298</v>
      </c>
      <c r="I131" t="str">
        <f t="array" ref="I131">IFERROR(
   INDEX(Cleaned_Campaign_Data!$B:$B,
         MATCH(1,
               (A131&gt;=Cleaned_Campaign_Data!$C:$C)*
               (A131&lt;=Cleaned_Campaign_Data!$D:$D),
               0)
        ),
   "No Campaign"
)</f>
        <v>No Campaign</v>
      </c>
    </row>
    <row r="132" spans="1:9" ht="14.95" thickBot="1" x14ac:dyDescent="0.35">
      <c r="A132" s="15">
        <v>45670</v>
      </c>
      <c r="B132" s="7" t="s">
        <v>32</v>
      </c>
      <c r="C132" s="8">
        <v>118</v>
      </c>
      <c r="D132" s="8">
        <v>262</v>
      </c>
      <c r="E132" s="8">
        <v>487896</v>
      </c>
      <c r="F132" s="8">
        <v>2.56</v>
      </c>
      <c r="G132" s="8">
        <v>12350</v>
      </c>
      <c r="H132">
        <f t="shared" si="2"/>
        <v>-144</v>
      </c>
      <c r="I132" t="str">
        <f t="array" ref="I132">IFERROR(
   INDEX(Cleaned_Campaign_Data!$B:$B,
         MATCH(1,
               (A132&gt;=Cleaned_Campaign_Data!$C:$C)*
               (A132&lt;=Cleaned_Campaign_Data!$D:$D),
               0)
        ),
   "No Campaign"
)</f>
        <v>No Campaign</v>
      </c>
    </row>
    <row r="133" spans="1:9" ht="14.95" thickBot="1" x14ac:dyDescent="0.35">
      <c r="A133" s="15">
        <v>45670</v>
      </c>
      <c r="B133" s="7" t="s">
        <v>31</v>
      </c>
      <c r="C133" s="8">
        <v>1331</v>
      </c>
      <c r="D133" s="8">
        <v>430</v>
      </c>
      <c r="E133" s="8">
        <v>14437</v>
      </c>
      <c r="F133" s="8">
        <v>3.29</v>
      </c>
      <c r="G133" s="8">
        <v>40868</v>
      </c>
      <c r="H133">
        <f t="shared" si="2"/>
        <v>901</v>
      </c>
      <c r="I133" t="str">
        <f t="array" ref="I133">IFERROR(
   INDEX(Cleaned_Campaign_Data!$B:$B,
         MATCH(1,
               (A133&gt;=Cleaned_Campaign_Data!$C:$C)*
               (A133&lt;=Cleaned_Campaign_Data!$D:$D),
               0)
        ),
   "No Campaign"
)</f>
        <v>No Campaign</v>
      </c>
    </row>
    <row r="134" spans="1:9" ht="14.95" thickBot="1" x14ac:dyDescent="0.35">
      <c r="A134" s="15">
        <v>45677</v>
      </c>
      <c r="B134" s="7" t="s">
        <v>29</v>
      </c>
      <c r="C134" s="8">
        <v>1748</v>
      </c>
      <c r="D134" s="8">
        <v>176</v>
      </c>
      <c r="E134" s="8">
        <v>383681</v>
      </c>
      <c r="F134" s="8">
        <v>9.24</v>
      </c>
      <c r="G134" s="8">
        <v>43122</v>
      </c>
      <c r="H134">
        <f t="shared" si="2"/>
        <v>1572</v>
      </c>
      <c r="I134" t="str">
        <f t="array" ref="I134">IFERROR(
   INDEX(Cleaned_Campaign_Data!$B:$B,
         MATCH(1,
               (A134&gt;=Cleaned_Campaign_Data!$C:$C)*
               (A134&lt;=Cleaned_Campaign_Data!$D:$D),
               0)
        ),
   "No Campaign"
)</f>
        <v>No Campaign</v>
      </c>
    </row>
    <row r="135" spans="1:9" ht="14.95" thickBot="1" x14ac:dyDescent="0.35">
      <c r="A135" s="15">
        <v>45677</v>
      </c>
      <c r="B135" s="7" t="s">
        <v>30</v>
      </c>
      <c r="C135" s="8">
        <v>663</v>
      </c>
      <c r="D135" s="8">
        <v>236</v>
      </c>
      <c r="E135" s="8">
        <v>479490</v>
      </c>
      <c r="F135" s="8">
        <v>4.51</v>
      </c>
      <c r="G135" s="8">
        <v>23853</v>
      </c>
      <c r="H135">
        <f t="shared" si="2"/>
        <v>427</v>
      </c>
      <c r="I135" t="str">
        <f t="array" ref="I135">IFERROR(
   INDEX(Cleaned_Campaign_Data!$B:$B,
         MATCH(1,
               (A135&gt;=Cleaned_Campaign_Data!$C:$C)*
               (A135&lt;=Cleaned_Campaign_Data!$D:$D),
               0)
        ),
   "No Campaign"
)</f>
        <v>No Campaign</v>
      </c>
    </row>
    <row r="136" spans="1:9" ht="14.95" thickBot="1" x14ac:dyDescent="0.35">
      <c r="A136" s="15">
        <v>45677</v>
      </c>
      <c r="B136" s="7" t="s">
        <v>32</v>
      </c>
      <c r="C136" s="8">
        <v>1040</v>
      </c>
      <c r="D136" s="8">
        <v>149</v>
      </c>
      <c r="E136" s="8">
        <v>124404</v>
      </c>
      <c r="F136" s="8">
        <v>5.23</v>
      </c>
      <c r="G136" s="8">
        <v>45380</v>
      </c>
      <c r="H136">
        <f t="shared" si="2"/>
        <v>891</v>
      </c>
      <c r="I136" t="str">
        <f t="array" ref="I136">IFERROR(
   INDEX(Cleaned_Campaign_Data!$B:$B,
         MATCH(1,
               (A136&gt;=Cleaned_Campaign_Data!$C:$C)*
               (A136&lt;=Cleaned_Campaign_Data!$D:$D),
               0)
        ),
   "No Campaign"
)</f>
        <v>No Campaign</v>
      </c>
    </row>
    <row r="137" spans="1:9" ht="14.95" thickBot="1" x14ac:dyDescent="0.35">
      <c r="A137" s="15">
        <v>45677</v>
      </c>
      <c r="B137" s="7" t="s">
        <v>31</v>
      </c>
      <c r="C137" s="8">
        <v>1166</v>
      </c>
      <c r="D137" s="8">
        <v>442</v>
      </c>
      <c r="E137" s="8">
        <v>336949</v>
      </c>
      <c r="F137" s="8">
        <v>4.68</v>
      </c>
      <c r="G137" s="8">
        <v>7705</v>
      </c>
      <c r="H137">
        <f t="shared" si="2"/>
        <v>724</v>
      </c>
      <c r="I137" t="str">
        <f t="array" ref="I137">IFERROR(
   INDEX(Cleaned_Campaign_Data!$B:$B,
         MATCH(1,
               (A137&gt;=Cleaned_Campaign_Data!$C:$C)*
               (A137&lt;=Cleaned_Campaign_Data!$D:$D),
               0)
        ),
   "No Campaign"
)</f>
        <v>No Campaign</v>
      </c>
    </row>
    <row r="138" spans="1:9" ht="14.95" thickBot="1" x14ac:dyDescent="0.35">
      <c r="A138" s="15">
        <v>45684</v>
      </c>
      <c r="B138" s="7" t="s">
        <v>29</v>
      </c>
      <c r="C138" s="8">
        <v>115</v>
      </c>
      <c r="D138" s="8">
        <v>281</v>
      </c>
      <c r="E138" s="8">
        <v>357265</v>
      </c>
      <c r="F138" s="8">
        <v>9.23</v>
      </c>
      <c r="G138" s="8">
        <v>25525</v>
      </c>
      <c r="H138">
        <f t="shared" si="2"/>
        <v>-166</v>
      </c>
      <c r="I138" t="str">
        <f t="array" ref="I138">IFERROR(
   INDEX(Cleaned_Campaign_Data!$B:$B,
         MATCH(1,
               (A138&gt;=Cleaned_Campaign_Data!$C:$C)*
               (A138&lt;=Cleaned_Campaign_Data!$D:$D),
               0)
        ),
   "No Campaign"
)</f>
        <v>No Campaign</v>
      </c>
    </row>
    <row r="139" spans="1:9" ht="14.95" thickBot="1" x14ac:dyDescent="0.35">
      <c r="A139" s="15">
        <v>45684</v>
      </c>
      <c r="B139" s="7" t="s">
        <v>30</v>
      </c>
      <c r="C139" s="8">
        <v>1249</v>
      </c>
      <c r="D139" s="8">
        <v>351</v>
      </c>
      <c r="E139" s="8">
        <v>321307</v>
      </c>
      <c r="F139" s="8">
        <v>6.37</v>
      </c>
      <c r="G139" s="8">
        <v>20560</v>
      </c>
      <c r="H139">
        <f t="shared" si="2"/>
        <v>898</v>
      </c>
      <c r="I139" t="str">
        <f t="array" ref="I139">IFERROR(
   INDEX(Cleaned_Campaign_Data!$B:$B,
         MATCH(1,
               (A139&gt;=Cleaned_Campaign_Data!$C:$C)*
               (A139&lt;=Cleaned_Campaign_Data!$D:$D),
               0)
        ),
   "No Campaign"
)</f>
        <v>No Campaign</v>
      </c>
    </row>
    <row r="140" spans="1:9" ht="14.95" thickBot="1" x14ac:dyDescent="0.35">
      <c r="A140" s="15">
        <v>45684</v>
      </c>
      <c r="B140" s="7" t="s">
        <v>32</v>
      </c>
      <c r="C140" s="8">
        <v>1501</v>
      </c>
      <c r="D140" s="8">
        <v>75</v>
      </c>
      <c r="E140" s="8">
        <v>262569</v>
      </c>
      <c r="F140" s="8">
        <v>2.0099999999999998</v>
      </c>
      <c r="G140" s="8">
        <v>19119</v>
      </c>
      <c r="H140">
        <f t="shared" si="2"/>
        <v>1426</v>
      </c>
      <c r="I140" t="str">
        <f t="array" ref="I140">IFERROR(
   INDEX(Cleaned_Campaign_Data!$B:$B,
         MATCH(1,
               (A140&gt;=Cleaned_Campaign_Data!$C:$C)*
               (A140&lt;=Cleaned_Campaign_Data!$D:$D),
               0)
        ),
   "No Campaign"
)</f>
        <v>No Campaign</v>
      </c>
    </row>
    <row r="141" spans="1:9" ht="14.95" thickBot="1" x14ac:dyDescent="0.35">
      <c r="A141" s="15">
        <v>45684</v>
      </c>
      <c r="B141" s="7" t="s">
        <v>31</v>
      </c>
      <c r="C141" s="8">
        <v>1411</v>
      </c>
      <c r="D141" s="8">
        <v>186</v>
      </c>
      <c r="E141" s="8">
        <v>461669</v>
      </c>
      <c r="F141" s="8">
        <v>3.72</v>
      </c>
      <c r="G141" s="8">
        <v>43999</v>
      </c>
      <c r="H141">
        <f t="shared" si="2"/>
        <v>1225</v>
      </c>
      <c r="I141" t="str">
        <f t="array" ref="I141">IFERROR(
   INDEX(Cleaned_Campaign_Data!$B:$B,
         MATCH(1,
               (A141&gt;=Cleaned_Campaign_Data!$C:$C)*
               (A141&lt;=Cleaned_Campaign_Data!$D:$D),
               0)
        ),
   "No Campaign"
)</f>
        <v>No Campaign</v>
      </c>
    </row>
    <row r="142" spans="1:9" ht="14.95" thickBot="1" x14ac:dyDescent="0.35">
      <c r="A142" s="15">
        <v>45691</v>
      </c>
      <c r="B142" s="7" t="s">
        <v>29</v>
      </c>
      <c r="C142" s="8">
        <v>1556</v>
      </c>
      <c r="D142" s="8">
        <v>476</v>
      </c>
      <c r="E142" s="8">
        <v>351556</v>
      </c>
      <c r="F142" s="8">
        <v>3.89</v>
      </c>
      <c r="G142" s="8">
        <v>10825</v>
      </c>
      <c r="H142">
        <f t="shared" si="2"/>
        <v>1080</v>
      </c>
      <c r="I142" t="str">
        <f t="array" ref="I142">IFERROR(
   INDEX(Cleaned_Campaign_Data!$B:$B,
         MATCH(1,
               (A142&gt;=Cleaned_Campaign_Data!$C:$C)*
               (A142&lt;=Cleaned_Campaign_Data!$D:$D),
               0)
        ),
   "No Campaign"
)</f>
        <v>No Campaign</v>
      </c>
    </row>
    <row r="143" spans="1:9" ht="14.95" thickBot="1" x14ac:dyDescent="0.35">
      <c r="A143" s="15">
        <v>45691</v>
      </c>
      <c r="B143" s="7" t="s">
        <v>30</v>
      </c>
      <c r="C143" s="8">
        <v>1159</v>
      </c>
      <c r="D143" s="8">
        <v>411</v>
      </c>
      <c r="E143" s="8">
        <v>135987</v>
      </c>
      <c r="F143" s="8">
        <v>8.6999999999999993</v>
      </c>
      <c r="G143" s="8">
        <v>40323</v>
      </c>
      <c r="H143">
        <f t="shared" si="2"/>
        <v>748</v>
      </c>
      <c r="I143" t="str">
        <f t="array" ref="I143">IFERROR(
   INDEX(Cleaned_Campaign_Data!$B:$B,
         MATCH(1,
               (A143&gt;=Cleaned_Campaign_Data!$C:$C)*
               (A143&lt;=Cleaned_Campaign_Data!$D:$D),
               0)
        ),
   "No Campaign"
)</f>
        <v>No Campaign</v>
      </c>
    </row>
    <row r="144" spans="1:9" ht="14.95" thickBot="1" x14ac:dyDescent="0.35">
      <c r="A144" s="15">
        <v>45691</v>
      </c>
      <c r="B144" s="7" t="s">
        <v>32</v>
      </c>
      <c r="C144" s="8">
        <v>927</v>
      </c>
      <c r="D144" s="8">
        <v>358</v>
      </c>
      <c r="E144" s="8">
        <v>177554</v>
      </c>
      <c r="F144" s="8">
        <v>6.95</v>
      </c>
      <c r="G144" s="8">
        <v>48270</v>
      </c>
      <c r="H144">
        <f t="shared" si="2"/>
        <v>569</v>
      </c>
      <c r="I144" t="str">
        <f t="array" ref="I144">IFERROR(
   INDEX(Cleaned_Campaign_Data!$B:$B,
         MATCH(1,
               (A144&gt;=Cleaned_Campaign_Data!$C:$C)*
               (A144&lt;=Cleaned_Campaign_Data!$D:$D),
               0)
        ),
   "No Campaign"
)</f>
        <v>No Campaign</v>
      </c>
    </row>
    <row r="145" spans="1:9" ht="14.95" thickBot="1" x14ac:dyDescent="0.35">
      <c r="A145" s="15">
        <v>45691</v>
      </c>
      <c r="B145" s="7" t="s">
        <v>31</v>
      </c>
      <c r="C145" s="8">
        <v>152</v>
      </c>
      <c r="D145" s="8">
        <v>355</v>
      </c>
      <c r="E145" s="8">
        <v>270766</v>
      </c>
      <c r="F145" s="8">
        <v>9.48</v>
      </c>
      <c r="G145" s="8">
        <v>18001</v>
      </c>
      <c r="H145">
        <f t="shared" si="2"/>
        <v>-203</v>
      </c>
      <c r="I145" t="str">
        <f t="array" ref="I145">IFERROR(
   INDEX(Cleaned_Campaign_Data!$B:$B,
         MATCH(1,
               (A145&gt;=Cleaned_Campaign_Data!$C:$C)*
               (A145&lt;=Cleaned_Campaign_Data!$D:$D),
               0)
        ),
   "No Campaign"
)</f>
        <v>No Campaign</v>
      </c>
    </row>
    <row r="146" spans="1:9" ht="14.95" thickBot="1" x14ac:dyDescent="0.35">
      <c r="A146" s="15">
        <v>45698</v>
      </c>
      <c r="B146" s="7" t="s">
        <v>29</v>
      </c>
      <c r="C146" s="8">
        <v>1957</v>
      </c>
      <c r="D146" s="8">
        <v>234</v>
      </c>
      <c r="E146" s="8">
        <v>222126</v>
      </c>
      <c r="F146" s="8">
        <v>4.6100000000000003</v>
      </c>
      <c r="G146" s="8">
        <v>3314</v>
      </c>
      <c r="H146">
        <f t="shared" si="2"/>
        <v>1723</v>
      </c>
      <c r="I146" t="str">
        <f t="array" ref="I146">IFERROR(
   INDEX(Cleaned_Campaign_Data!$B:$B,
         MATCH(1,
               (A146&gt;=Cleaned_Campaign_Data!$C:$C)*
               (A146&lt;=Cleaned_Campaign_Data!$D:$D),
               0)
        ),
   "No Campaign"
)</f>
        <v>No Campaign</v>
      </c>
    </row>
    <row r="147" spans="1:9" ht="14.95" thickBot="1" x14ac:dyDescent="0.35">
      <c r="A147" s="15">
        <v>45698</v>
      </c>
      <c r="B147" s="7" t="s">
        <v>30</v>
      </c>
      <c r="C147" s="8">
        <v>1294</v>
      </c>
      <c r="D147" s="8">
        <v>382</v>
      </c>
      <c r="E147" s="8">
        <v>309914</v>
      </c>
      <c r="F147" s="8">
        <v>8.0299999999999994</v>
      </c>
      <c r="G147" s="8">
        <v>23489</v>
      </c>
      <c r="H147">
        <f t="shared" si="2"/>
        <v>912</v>
      </c>
      <c r="I147" t="str">
        <f t="array" ref="I147">IFERROR(
   INDEX(Cleaned_Campaign_Data!$B:$B,
         MATCH(1,
               (A147&gt;=Cleaned_Campaign_Data!$C:$C)*
               (A147&lt;=Cleaned_Campaign_Data!$D:$D),
               0)
        ),
   "No Campaign"
)</f>
        <v>No Campaign</v>
      </c>
    </row>
    <row r="148" spans="1:9" ht="14.95" thickBot="1" x14ac:dyDescent="0.35">
      <c r="A148" s="15">
        <v>45698</v>
      </c>
      <c r="B148" s="7" t="s">
        <v>32</v>
      </c>
      <c r="C148" s="8">
        <v>1587</v>
      </c>
      <c r="D148" s="8">
        <v>385</v>
      </c>
      <c r="E148" s="8">
        <v>126582</v>
      </c>
      <c r="F148" s="8">
        <v>6.99</v>
      </c>
      <c r="G148" s="8">
        <v>42832</v>
      </c>
      <c r="H148">
        <f t="shared" si="2"/>
        <v>1202</v>
      </c>
      <c r="I148" t="str">
        <f t="array" ref="I148">IFERROR(
   INDEX(Cleaned_Campaign_Data!$B:$B,
         MATCH(1,
               (A148&gt;=Cleaned_Campaign_Data!$C:$C)*
               (A148&lt;=Cleaned_Campaign_Data!$D:$D),
               0)
        ),
   "No Campaign"
)</f>
        <v>No Campaign</v>
      </c>
    </row>
    <row r="149" spans="1:9" ht="14.95" thickBot="1" x14ac:dyDescent="0.35">
      <c r="A149" s="15">
        <v>45698</v>
      </c>
      <c r="B149" s="7" t="s">
        <v>31</v>
      </c>
      <c r="C149" s="8">
        <v>1707</v>
      </c>
      <c r="D149" s="8">
        <v>263</v>
      </c>
      <c r="E149" s="8">
        <v>485280</v>
      </c>
      <c r="F149" s="8">
        <v>9.0299999999999994</v>
      </c>
      <c r="G149" s="8">
        <v>24494</v>
      </c>
      <c r="H149">
        <f t="shared" si="2"/>
        <v>1444</v>
      </c>
      <c r="I149" t="str">
        <f t="array" ref="I149">IFERROR(
   INDEX(Cleaned_Campaign_Data!$B:$B,
         MATCH(1,
               (A149&gt;=Cleaned_Campaign_Data!$C:$C)*
               (A149&lt;=Cleaned_Campaign_Data!$D:$D),
               0)
        ),
   "No Campaign"
)</f>
        <v>No Campaign</v>
      </c>
    </row>
    <row r="150" spans="1:9" ht="14.95" thickBot="1" x14ac:dyDescent="0.35">
      <c r="A150" s="15">
        <v>45705</v>
      </c>
      <c r="B150" s="7" t="s">
        <v>29</v>
      </c>
      <c r="C150" s="8">
        <v>1138</v>
      </c>
      <c r="D150" s="8">
        <v>173</v>
      </c>
      <c r="E150" s="8">
        <v>453243</v>
      </c>
      <c r="F150" s="8">
        <v>2.86</v>
      </c>
      <c r="G150" s="8">
        <v>44097</v>
      </c>
      <c r="H150">
        <f t="shared" si="2"/>
        <v>965</v>
      </c>
      <c r="I150" t="str">
        <f t="array" ref="I150">IFERROR(
   INDEX(Cleaned_Campaign_Data!$B:$B,
         MATCH(1,
               (A150&gt;=Cleaned_Campaign_Data!$C:$C)*
               (A150&lt;=Cleaned_Campaign_Data!$D:$D),
               0)
        ),
   "No Campaign"
)</f>
        <v>No Campaign</v>
      </c>
    </row>
    <row r="151" spans="1:9" ht="14.95" thickBot="1" x14ac:dyDescent="0.35">
      <c r="A151" s="15">
        <v>45705</v>
      </c>
      <c r="B151" s="7" t="s">
        <v>30</v>
      </c>
      <c r="C151" s="8">
        <v>1895</v>
      </c>
      <c r="D151" s="8">
        <v>305</v>
      </c>
      <c r="E151" s="8">
        <v>104967</v>
      </c>
      <c r="F151" s="8">
        <v>3.85</v>
      </c>
      <c r="G151" s="8">
        <v>31853</v>
      </c>
      <c r="H151">
        <f t="shared" si="2"/>
        <v>1590</v>
      </c>
      <c r="I151" t="str">
        <f t="array" ref="I151">IFERROR(
   INDEX(Cleaned_Campaign_Data!$B:$B,
         MATCH(1,
               (A151&gt;=Cleaned_Campaign_Data!$C:$C)*
               (A151&lt;=Cleaned_Campaign_Data!$D:$D),
               0)
        ),
   "No Campaign"
)</f>
        <v>No Campaign</v>
      </c>
    </row>
    <row r="152" spans="1:9" ht="14.95" thickBot="1" x14ac:dyDescent="0.35">
      <c r="A152" s="15">
        <v>45705</v>
      </c>
      <c r="B152" s="7" t="s">
        <v>32</v>
      </c>
      <c r="C152" s="8">
        <v>362</v>
      </c>
      <c r="D152" s="8">
        <v>399</v>
      </c>
      <c r="E152" s="8">
        <v>145608</v>
      </c>
      <c r="F152" s="8">
        <v>7.3</v>
      </c>
      <c r="G152" s="8">
        <v>37636</v>
      </c>
      <c r="H152">
        <f t="shared" si="2"/>
        <v>-37</v>
      </c>
      <c r="I152" t="str">
        <f t="array" ref="I152">IFERROR(
   INDEX(Cleaned_Campaign_Data!$B:$B,
         MATCH(1,
               (A152&gt;=Cleaned_Campaign_Data!$C:$C)*
               (A152&lt;=Cleaned_Campaign_Data!$D:$D),
               0)
        ),
   "No Campaign"
)</f>
        <v>No Campaign</v>
      </c>
    </row>
    <row r="153" spans="1:9" ht="14.95" thickBot="1" x14ac:dyDescent="0.35">
      <c r="A153" s="15">
        <v>45705</v>
      </c>
      <c r="B153" s="7" t="s">
        <v>31</v>
      </c>
      <c r="C153" s="8">
        <v>1662</v>
      </c>
      <c r="D153" s="8">
        <v>487</v>
      </c>
      <c r="E153" s="8">
        <v>105980</v>
      </c>
      <c r="F153" s="8">
        <v>9.08</v>
      </c>
      <c r="G153" s="8">
        <v>22996</v>
      </c>
      <c r="H153">
        <f t="shared" si="2"/>
        <v>1175</v>
      </c>
      <c r="I153" t="str">
        <f t="array" ref="I153">IFERROR(
   INDEX(Cleaned_Campaign_Data!$B:$B,
         MATCH(1,
               (A153&gt;=Cleaned_Campaign_Data!$C:$C)*
               (A153&lt;=Cleaned_Campaign_Data!$D:$D),
               0)
        ),
   "No Campaign"
)</f>
        <v>No Campaign</v>
      </c>
    </row>
    <row r="154" spans="1:9" ht="14.95" thickBot="1" x14ac:dyDescent="0.35">
      <c r="A154" s="15">
        <v>45712</v>
      </c>
      <c r="B154" s="7" t="s">
        <v>29</v>
      </c>
      <c r="C154" s="8">
        <v>1440</v>
      </c>
      <c r="D154" s="8">
        <v>65</v>
      </c>
      <c r="E154" s="8">
        <v>126524</v>
      </c>
      <c r="F154" s="8">
        <v>4.34</v>
      </c>
      <c r="G154" s="8">
        <v>49772</v>
      </c>
      <c r="H154">
        <f t="shared" si="2"/>
        <v>1375</v>
      </c>
      <c r="I154" t="str">
        <f t="array" ref="I154">IFERROR(
   INDEX(Cleaned_Campaign_Data!$B:$B,
         MATCH(1,
               (A154&gt;=Cleaned_Campaign_Data!$C:$C)*
               (A154&lt;=Cleaned_Campaign_Data!$D:$D),
               0)
        ),
   "No Campaign"
)</f>
        <v>No Campaign</v>
      </c>
    </row>
    <row r="155" spans="1:9" ht="14.95" thickBot="1" x14ac:dyDescent="0.35">
      <c r="A155" s="15">
        <v>45712</v>
      </c>
      <c r="B155" s="7" t="s">
        <v>30</v>
      </c>
      <c r="C155" s="8">
        <v>1884</v>
      </c>
      <c r="D155" s="8">
        <v>177</v>
      </c>
      <c r="E155" s="8">
        <v>230448</v>
      </c>
      <c r="F155" s="8">
        <v>7.8</v>
      </c>
      <c r="G155" s="8">
        <v>22713</v>
      </c>
      <c r="H155">
        <f t="shared" si="2"/>
        <v>1707</v>
      </c>
      <c r="I155" t="str">
        <f t="array" ref="I155">IFERROR(
   INDEX(Cleaned_Campaign_Data!$B:$B,
         MATCH(1,
               (A155&gt;=Cleaned_Campaign_Data!$C:$C)*
               (A155&lt;=Cleaned_Campaign_Data!$D:$D),
               0)
        ),
   "No Campaign"
)</f>
        <v>No Campaign</v>
      </c>
    </row>
    <row r="156" spans="1:9" ht="14.95" thickBot="1" x14ac:dyDescent="0.35">
      <c r="A156" s="15">
        <v>45712</v>
      </c>
      <c r="B156" s="7" t="s">
        <v>32</v>
      </c>
      <c r="C156" s="8">
        <v>861</v>
      </c>
      <c r="D156" s="8">
        <v>153</v>
      </c>
      <c r="E156" s="8">
        <v>317007</v>
      </c>
      <c r="F156" s="8">
        <v>3.85</v>
      </c>
      <c r="G156" s="8">
        <v>8718</v>
      </c>
      <c r="H156">
        <f t="shared" si="2"/>
        <v>708</v>
      </c>
      <c r="I156" t="str">
        <f t="array" ref="I156">IFERROR(
   INDEX(Cleaned_Campaign_Data!$B:$B,
         MATCH(1,
               (A156&gt;=Cleaned_Campaign_Data!$C:$C)*
               (A156&lt;=Cleaned_Campaign_Data!$D:$D),
               0)
        ),
   "No Campaign"
)</f>
        <v>No Campaign</v>
      </c>
    </row>
    <row r="157" spans="1:9" ht="14.95" thickBot="1" x14ac:dyDescent="0.35">
      <c r="A157" s="15">
        <v>45712</v>
      </c>
      <c r="B157" s="7" t="s">
        <v>31</v>
      </c>
      <c r="C157" s="8">
        <v>1063</v>
      </c>
      <c r="D157" s="8">
        <v>47</v>
      </c>
      <c r="E157" s="8">
        <v>464239</v>
      </c>
      <c r="F157" s="8">
        <v>6.58</v>
      </c>
      <c r="G157" s="8">
        <v>39031</v>
      </c>
      <c r="H157">
        <f t="shared" si="2"/>
        <v>1016</v>
      </c>
      <c r="I157" t="str">
        <f t="array" ref="I157">IFERROR(
   INDEX(Cleaned_Campaign_Data!$B:$B,
         MATCH(1,
               (A157&gt;=Cleaned_Campaign_Data!$C:$C)*
               (A157&lt;=Cleaned_Campaign_Data!$D:$D),
               0)
        ),
   "No Campaign"
)</f>
        <v>No Campaign</v>
      </c>
    </row>
    <row r="158" spans="1:9" ht="14.95" thickBot="1" x14ac:dyDescent="0.35">
      <c r="A158" s="15">
        <v>45719</v>
      </c>
      <c r="B158" s="7" t="s">
        <v>29</v>
      </c>
      <c r="C158" s="8">
        <v>1371</v>
      </c>
      <c r="D158" s="8">
        <v>56</v>
      </c>
      <c r="E158" s="8">
        <v>257579</v>
      </c>
      <c r="F158" s="8">
        <v>8.6199999999999992</v>
      </c>
      <c r="G158" s="8">
        <v>33799</v>
      </c>
      <c r="H158">
        <f t="shared" si="2"/>
        <v>1315</v>
      </c>
      <c r="I158" t="str">
        <f t="array" ref="I158">IFERROR(
   INDEX(Cleaned_Campaign_Data!$B:$B,
         MATCH(1,
               (A158&gt;=Cleaned_Campaign_Data!$C:$C)*
               (A158&lt;=Cleaned_Campaign_Data!$D:$D),
               0)
        ),
   "No Campaign"
)</f>
        <v>DailyWellness</v>
      </c>
    </row>
    <row r="159" spans="1:9" ht="14.95" thickBot="1" x14ac:dyDescent="0.35">
      <c r="A159" s="15">
        <v>45719</v>
      </c>
      <c r="B159" s="7" t="s">
        <v>30</v>
      </c>
      <c r="C159" s="8">
        <v>345</v>
      </c>
      <c r="D159" s="8">
        <v>464</v>
      </c>
      <c r="E159" s="8">
        <v>366881</v>
      </c>
      <c r="F159" s="8">
        <v>4.55</v>
      </c>
      <c r="G159" s="8">
        <v>20553</v>
      </c>
      <c r="H159">
        <f t="shared" si="2"/>
        <v>-119</v>
      </c>
      <c r="I159" t="str">
        <f t="array" ref="I159">IFERROR(
   INDEX(Cleaned_Campaign_Data!$B:$B,
         MATCH(1,
               (A159&gt;=Cleaned_Campaign_Data!$C:$C)*
               (A159&lt;=Cleaned_Campaign_Data!$D:$D),
               0)
        ),
   "No Campaign"
)</f>
        <v>DailyWellness</v>
      </c>
    </row>
    <row r="160" spans="1:9" ht="14.95" thickBot="1" x14ac:dyDescent="0.35">
      <c r="A160" s="15">
        <v>45719</v>
      </c>
      <c r="B160" s="7" t="s">
        <v>32</v>
      </c>
      <c r="C160" s="8">
        <v>946</v>
      </c>
      <c r="D160" s="8">
        <v>47</v>
      </c>
      <c r="E160" s="8">
        <v>466575</v>
      </c>
      <c r="F160" s="8">
        <v>8.33</v>
      </c>
      <c r="G160" s="8">
        <v>10002</v>
      </c>
      <c r="H160">
        <f t="shared" si="2"/>
        <v>899</v>
      </c>
      <c r="I160" t="str">
        <f t="array" ref="I160">IFERROR(
   INDEX(Cleaned_Campaign_Data!$B:$B,
         MATCH(1,
               (A160&gt;=Cleaned_Campaign_Data!$C:$C)*
               (A160&lt;=Cleaned_Campaign_Data!$D:$D),
               0)
        ),
   "No Campaign"
)</f>
        <v>DailyWellness</v>
      </c>
    </row>
    <row r="161" spans="1:9" ht="14.95" thickBot="1" x14ac:dyDescent="0.35">
      <c r="A161" s="15">
        <v>45719</v>
      </c>
      <c r="B161" s="7" t="s">
        <v>31</v>
      </c>
      <c r="C161" s="8">
        <v>510</v>
      </c>
      <c r="D161" s="8">
        <v>195</v>
      </c>
      <c r="E161" s="8">
        <v>224534</v>
      </c>
      <c r="F161" s="8">
        <v>9.4</v>
      </c>
      <c r="G161" s="8">
        <v>30987</v>
      </c>
      <c r="H161">
        <f t="shared" si="2"/>
        <v>315</v>
      </c>
      <c r="I161" t="str">
        <f t="array" ref="I161">IFERROR(
   INDEX(Cleaned_Campaign_Data!$B:$B,
         MATCH(1,
               (A161&gt;=Cleaned_Campaign_Data!$C:$C)*
               (A161&lt;=Cleaned_Campaign_Data!$D:$D),
               0)
        ),
   "No Campaign"
)</f>
        <v>DailyWellness</v>
      </c>
    </row>
    <row r="162" spans="1:9" ht="14.95" thickBot="1" x14ac:dyDescent="0.35">
      <c r="A162" s="15">
        <v>45726</v>
      </c>
      <c r="B162" s="7" t="s">
        <v>29</v>
      </c>
      <c r="C162" s="8">
        <v>393</v>
      </c>
      <c r="D162" s="8">
        <v>181</v>
      </c>
      <c r="E162" s="8">
        <v>462142</v>
      </c>
      <c r="F162" s="8">
        <v>7.23</v>
      </c>
      <c r="G162" s="8">
        <v>6296</v>
      </c>
      <c r="H162">
        <f t="shared" si="2"/>
        <v>212</v>
      </c>
      <c r="I162" t="str">
        <f t="array" ref="I162">IFERROR(
   INDEX(Cleaned_Campaign_Data!$B:$B,
         MATCH(1,
               (A162&gt;=Cleaned_Campaign_Data!$C:$C)*
               (A162&lt;=Cleaned_Campaign_Data!$D:$D),
               0)
        ),
   "No Campaign"
)</f>
        <v>DailyWellness</v>
      </c>
    </row>
    <row r="163" spans="1:9" ht="14.95" thickBot="1" x14ac:dyDescent="0.35">
      <c r="A163" s="15">
        <v>45726</v>
      </c>
      <c r="B163" s="7" t="s">
        <v>30</v>
      </c>
      <c r="C163" s="8">
        <v>1098</v>
      </c>
      <c r="D163" s="8">
        <v>190</v>
      </c>
      <c r="E163" s="8">
        <v>340842</v>
      </c>
      <c r="F163" s="8">
        <v>9.39</v>
      </c>
      <c r="G163" s="8">
        <v>21539</v>
      </c>
      <c r="H163">
        <f t="shared" si="2"/>
        <v>908</v>
      </c>
      <c r="I163" t="str">
        <f t="array" ref="I163">IFERROR(
   INDEX(Cleaned_Campaign_Data!$B:$B,
         MATCH(1,
               (A163&gt;=Cleaned_Campaign_Data!$C:$C)*
               (A163&lt;=Cleaned_Campaign_Data!$D:$D),
               0)
        ),
   "No Campaign"
)</f>
        <v>DailyWellness</v>
      </c>
    </row>
    <row r="164" spans="1:9" ht="14.95" thickBot="1" x14ac:dyDescent="0.35">
      <c r="A164" s="15">
        <v>45726</v>
      </c>
      <c r="B164" s="7" t="s">
        <v>32</v>
      </c>
      <c r="C164" s="8">
        <v>1399</v>
      </c>
      <c r="D164" s="8">
        <v>49</v>
      </c>
      <c r="E164" s="8">
        <v>12471</v>
      </c>
      <c r="F164" s="8">
        <v>5.12</v>
      </c>
      <c r="G164" s="8">
        <v>14722</v>
      </c>
      <c r="H164">
        <f t="shared" si="2"/>
        <v>1350</v>
      </c>
      <c r="I164" t="str">
        <f t="array" ref="I164">IFERROR(
   INDEX(Cleaned_Campaign_Data!$B:$B,
         MATCH(1,
               (A164&gt;=Cleaned_Campaign_Data!$C:$C)*
               (A164&lt;=Cleaned_Campaign_Data!$D:$D),
               0)
        ),
   "No Campaign"
)</f>
        <v>DailyWellness</v>
      </c>
    </row>
    <row r="165" spans="1:9" ht="14.95" thickBot="1" x14ac:dyDescent="0.35">
      <c r="A165" s="15">
        <v>45726</v>
      </c>
      <c r="B165" s="7" t="s">
        <v>31</v>
      </c>
      <c r="C165" s="8">
        <v>1658</v>
      </c>
      <c r="D165" s="8">
        <v>416</v>
      </c>
      <c r="E165" s="8">
        <v>98397</v>
      </c>
      <c r="F165" s="8">
        <v>6.11</v>
      </c>
      <c r="G165" s="8">
        <v>11383</v>
      </c>
      <c r="H165">
        <f t="shared" si="2"/>
        <v>1242</v>
      </c>
      <c r="I165" t="str">
        <f t="array" ref="I165">IFERROR(
   INDEX(Cleaned_Campaign_Data!$B:$B,
         MATCH(1,
               (A165&gt;=Cleaned_Campaign_Data!$C:$C)*
               (A165&lt;=Cleaned_Campaign_Data!$D:$D),
               0)
        ),
   "No Campaign"
)</f>
        <v>DailyWellness</v>
      </c>
    </row>
    <row r="166" spans="1:9" ht="14.95" thickBot="1" x14ac:dyDescent="0.35">
      <c r="A166" s="15">
        <v>45733</v>
      </c>
      <c r="B166" s="7" t="s">
        <v>29</v>
      </c>
      <c r="C166" s="8">
        <v>1102</v>
      </c>
      <c r="D166" s="8">
        <v>422</v>
      </c>
      <c r="E166" s="8">
        <v>410330</v>
      </c>
      <c r="F166" s="8">
        <v>7.74</v>
      </c>
      <c r="G166" s="8">
        <v>9480</v>
      </c>
      <c r="H166">
        <f t="shared" si="2"/>
        <v>680</v>
      </c>
      <c r="I166" t="str">
        <f t="array" ref="I166">IFERROR(
   INDEX(Cleaned_Campaign_Data!$B:$B,
         MATCH(1,
               (A166&gt;=Cleaned_Campaign_Data!$C:$C)*
               (A166&lt;=Cleaned_Campaign_Data!$D:$D),
               0)
        ),
   "No Campaign"
)</f>
        <v>DailyWellness</v>
      </c>
    </row>
    <row r="167" spans="1:9" ht="14.95" thickBot="1" x14ac:dyDescent="0.35">
      <c r="A167" s="15">
        <v>45733</v>
      </c>
      <c r="B167" s="7" t="s">
        <v>30</v>
      </c>
      <c r="C167" s="8">
        <v>1358</v>
      </c>
      <c r="D167" s="8">
        <v>242</v>
      </c>
      <c r="E167" s="8">
        <v>342129</v>
      </c>
      <c r="F167" s="8">
        <v>4.9400000000000004</v>
      </c>
      <c r="G167" s="8">
        <v>29116</v>
      </c>
      <c r="H167">
        <f t="shared" si="2"/>
        <v>1116</v>
      </c>
      <c r="I167" t="str">
        <f t="array" ref="I167">IFERROR(
   INDEX(Cleaned_Campaign_Data!$B:$B,
         MATCH(1,
               (A167&gt;=Cleaned_Campaign_Data!$C:$C)*
               (A167&lt;=Cleaned_Campaign_Data!$D:$D),
               0)
        ),
   "No Campaign"
)</f>
        <v>DailyWellness</v>
      </c>
    </row>
    <row r="168" spans="1:9" ht="14.95" thickBot="1" x14ac:dyDescent="0.35">
      <c r="A168" s="15">
        <v>45733</v>
      </c>
      <c r="B168" s="7" t="s">
        <v>32</v>
      </c>
      <c r="C168" s="8">
        <v>1077</v>
      </c>
      <c r="D168" s="8">
        <v>216</v>
      </c>
      <c r="E168" s="8">
        <v>12447</v>
      </c>
      <c r="F168" s="8">
        <v>1.8</v>
      </c>
      <c r="G168" s="8">
        <v>14068</v>
      </c>
      <c r="H168">
        <f t="shared" si="2"/>
        <v>861</v>
      </c>
      <c r="I168" t="str">
        <f t="array" ref="I168">IFERROR(
   INDEX(Cleaned_Campaign_Data!$B:$B,
         MATCH(1,
               (A168&gt;=Cleaned_Campaign_Data!$C:$C)*
               (A168&lt;=Cleaned_Campaign_Data!$D:$D),
               0)
        ),
   "No Campaign"
)</f>
        <v>DailyWellness</v>
      </c>
    </row>
    <row r="169" spans="1:9" ht="14.95" thickBot="1" x14ac:dyDescent="0.35">
      <c r="A169" s="15">
        <v>45733</v>
      </c>
      <c r="B169" s="7" t="s">
        <v>31</v>
      </c>
      <c r="C169" s="8">
        <v>1596</v>
      </c>
      <c r="D169" s="8">
        <v>211</v>
      </c>
      <c r="E169" s="8">
        <v>17380</v>
      </c>
      <c r="F169" s="8">
        <v>8.64</v>
      </c>
      <c r="G169" s="8">
        <v>35801</v>
      </c>
      <c r="H169">
        <f t="shared" si="2"/>
        <v>1385</v>
      </c>
      <c r="I169" t="str">
        <f t="array" ref="I169">IFERROR(
   INDEX(Cleaned_Campaign_Data!$B:$B,
         MATCH(1,
               (A169&gt;=Cleaned_Campaign_Data!$C:$C)*
               (A169&lt;=Cleaned_Campaign_Data!$D:$D),
               0)
        ),
   "No Campaign"
)</f>
        <v>DailyWellness</v>
      </c>
    </row>
    <row r="170" spans="1:9" ht="14.95" thickBot="1" x14ac:dyDescent="0.35">
      <c r="A170" s="15">
        <v>45740</v>
      </c>
      <c r="B170" s="7" t="s">
        <v>29</v>
      </c>
      <c r="C170" s="8">
        <v>490</v>
      </c>
      <c r="D170" s="8">
        <v>29</v>
      </c>
      <c r="E170" s="8">
        <v>364810</v>
      </c>
      <c r="F170" s="8">
        <v>1.53</v>
      </c>
      <c r="G170" s="8">
        <v>49077</v>
      </c>
      <c r="H170">
        <f t="shared" si="2"/>
        <v>461</v>
      </c>
      <c r="I170" t="str">
        <f t="array" ref="I170">IFERROR(
   INDEX(Cleaned_Campaign_Data!$B:$B,
         MATCH(1,
               (A170&gt;=Cleaned_Campaign_Data!$C:$C)*
               (A170&lt;=Cleaned_Campaign_Data!$D:$D),
               0)
        ),
   "No Campaign"
)</f>
        <v>DailyWellness</v>
      </c>
    </row>
    <row r="171" spans="1:9" ht="14.95" thickBot="1" x14ac:dyDescent="0.35">
      <c r="A171" s="15">
        <v>45740</v>
      </c>
      <c r="B171" s="7" t="s">
        <v>30</v>
      </c>
      <c r="C171" s="8">
        <v>609</v>
      </c>
      <c r="D171" s="8">
        <v>135</v>
      </c>
      <c r="E171" s="8">
        <v>373606</v>
      </c>
      <c r="F171" s="8">
        <v>8.52</v>
      </c>
      <c r="G171" s="8">
        <v>21453</v>
      </c>
      <c r="H171">
        <f t="shared" si="2"/>
        <v>474</v>
      </c>
      <c r="I171" t="str">
        <f t="array" ref="I171">IFERROR(
   INDEX(Cleaned_Campaign_Data!$B:$B,
         MATCH(1,
               (A171&gt;=Cleaned_Campaign_Data!$C:$C)*
               (A171&lt;=Cleaned_Campaign_Data!$D:$D),
               0)
        ),
   "No Campaign"
)</f>
        <v>DailyWellness</v>
      </c>
    </row>
    <row r="172" spans="1:9" ht="14.95" thickBot="1" x14ac:dyDescent="0.35">
      <c r="A172" s="15">
        <v>45740</v>
      </c>
      <c r="B172" s="7" t="s">
        <v>32</v>
      </c>
      <c r="C172" s="8">
        <v>364</v>
      </c>
      <c r="D172" s="8">
        <v>72</v>
      </c>
      <c r="E172" s="8">
        <v>211090</v>
      </c>
      <c r="F172" s="8">
        <v>5.53</v>
      </c>
      <c r="G172" s="8">
        <v>21061</v>
      </c>
      <c r="H172">
        <f t="shared" si="2"/>
        <v>292</v>
      </c>
      <c r="I172" t="str">
        <f t="array" ref="I172">IFERROR(
   INDEX(Cleaned_Campaign_Data!$B:$B,
         MATCH(1,
               (A172&gt;=Cleaned_Campaign_Data!$C:$C)*
               (A172&lt;=Cleaned_Campaign_Data!$D:$D),
               0)
        ),
   "No Campaign"
)</f>
        <v>DailyWellness</v>
      </c>
    </row>
    <row r="173" spans="1:9" ht="14.95" thickBot="1" x14ac:dyDescent="0.35">
      <c r="A173" s="15">
        <v>45740</v>
      </c>
      <c r="B173" s="7" t="s">
        <v>31</v>
      </c>
      <c r="C173" s="8">
        <v>442</v>
      </c>
      <c r="D173" s="8">
        <v>53</v>
      </c>
      <c r="E173" s="8">
        <v>441931</v>
      </c>
      <c r="F173" s="8">
        <v>1.87</v>
      </c>
      <c r="G173" s="8">
        <v>20059</v>
      </c>
      <c r="H173">
        <f t="shared" si="2"/>
        <v>389</v>
      </c>
      <c r="I173" t="str">
        <f t="array" ref="I173">IFERROR(
   INDEX(Cleaned_Campaign_Data!$B:$B,
         MATCH(1,
               (A173&gt;=Cleaned_Campaign_Data!$C:$C)*
               (A173&lt;=Cleaned_Campaign_Data!$D:$D),
               0)
        ),
   "No Campaign"
)</f>
        <v>DailyWellness</v>
      </c>
    </row>
    <row r="174" spans="1:9" ht="14.95" thickBot="1" x14ac:dyDescent="0.35">
      <c r="A174" s="15">
        <v>45747</v>
      </c>
      <c r="B174" s="7" t="s">
        <v>29</v>
      </c>
      <c r="C174" s="8">
        <v>1033</v>
      </c>
      <c r="D174" s="8">
        <v>392</v>
      </c>
      <c r="E174" s="8">
        <v>282780</v>
      </c>
      <c r="F174" s="8">
        <v>6.27</v>
      </c>
      <c r="G174" s="8">
        <v>23140</v>
      </c>
      <c r="H174">
        <f t="shared" si="2"/>
        <v>641</v>
      </c>
      <c r="I174" t="str">
        <f t="array" ref="I174">IFERROR(
   INDEX(Cleaned_Campaign_Data!$B:$B,
         MATCH(1,
               (A174&gt;=Cleaned_Campaign_Data!$C:$C)*
               (A174&lt;=Cleaned_Campaign_Data!$D:$D),
               0)
        ),
   "No Campaign"
)</f>
        <v>DailyWellness</v>
      </c>
    </row>
    <row r="175" spans="1:9" ht="14.95" thickBot="1" x14ac:dyDescent="0.35">
      <c r="A175" s="15">
        <v>45747</v>
      </c>
      <c r="B175" s="7" t="s">
        <v>30</v>
      </c>
      <c r="C175" s="8">
        <v>988</v>
      </c>
      <c r="D175" s="8">
        <v>474</v>
      </c>
      <c r="E175" s="8">
        <v>370070</v>
      </c>
      <c r="F175" s="8">
        <v>9.4600000000000009</v>
      </c>
      <c r="G175" s="8">
        <v>23461</v>
      </c>
      <c r="H175">
        <f t="shared" si="2"/>
        <v>514</v>
      </c>
      <c r="I175" t="str">
        <f t="array" ref="I175">IFERROR(
   INDEX(Cleaned_Campaign_Data!$B:$B,
         MATCH(1,
               (A175&gt;=Cleaned_Campaign_Data!$C:$C)*
               (A175&lt;=Cleaned_Campaign_Data!$D:$D),
               0)
        ),
   "No Campaign"
)</f>
        <v>DailyWellness</v>
      </c>
    </row>
    <row r="176" spans="1:9" ht="14.95" thickBot="1" x14ac:dyDescent="0.35">
      <c r="A176" s="15">
        <v>45747</v>
      </c>
      <c r="B176" s="7" t="s">
        <v>32</v>
      </c>
      <c r="C176" s="8">
        <v>1946</v>
      </c>
      <c r="D176" s="8">
        <v>270</v>
      </c>
      <c r="E176" s="8">
        <v>198350</v>
      </c>
      <c r="F176" s="8">
        <v>7.5</v>
      </c>
      <c r="G176" s="8">
        <v>11805</v>
      </c>
      <c r="H176">
        <f t="shared" si="2"/>
        <v>1676</v>
      </c>
      <c r="I176" t="str">
        <f t="array" ref="I176">IFERROR(
   INDEX(Cleaned_Campaign_Data!$B:$B,
         MATCH(1,
               (A176&gt;=Cleaned_Campaign_Data!$C:$C)*
               (A176&lt;=Cleaned_Campaign_Data!$D:$D),
               0)
        ),
   "No Campaign"
)</f>
        <v>DailyWellness</v>
      </c>
    </row>
    <row r="177" spans="1:9" ht="14.95" thickBot="1" x14ac:dyDescent="0.35">
      <c r="A177" s="15">
        <v>45747</v>
      </c>
      <c r="B177" s="7" t="s">
        <v>31</v>
      </c>
      <c r="C177" s="8">
        <v>1957</v>
      </c>
      <c r="D177" s="8">
        <v>490</v>
      </c>
      <c r="E177" s="8">
        <v>435726</v>
      </c>
      <c r="F177" s="8">
        <v>4.7300000000000004</v>
      </c>
      <c r="G177" s="8">
        <v>15969</v>
      </c>
      <c r="H177">
        <f t="shared" si="2"/>
        <v>1467</v>
      </c>
      <c r="I177" t="str">
        <f t="array" ref="I177">IFERROR(
   INDEX(Cleaned_Campaign_Data!$B:$B,
         MATCH(1,
               (A177&gt;=Cleaned_Campaign_Data!$C:$C)*
               (A177&lt;=Cleaned_Campaign_Data!$D:$D),
               0)
        ),
   "No Campaign"
)</f>
        <v>DailyWellness</v>
      </c>
    </row>
    <row r="178" spans="1:9" ht="14.95" thickBot="1" x14ac:dyDescent="0.35">
      <c r="A178" s="15">
        <v>45754</v>
      </c>
      <c r="B178" s="7" t="s">
        <v>29</v>
      </c>
      <c r="C178" s="8">
        <v>559</v>
      </c>
      <c r="D178" s="8">
        <v>392</v>
      </c>
      <c r="E178" s="8">
        <v>78789</v>
      </c>
      <c r="F178" s="8">
        <v>3.19</v>
      </c>
      <c r="G178" s="8">
        <v>2436</v>
      </c>
      <c r="H178">
        <f t="shared" si="2"/>
        <v>167</v>
      </c>
      <c r="I178" t="str">
        <f t="array" ref="I178">IFERROR(
   INDEX(Cleaned_Campaign_Data!$B:$B,
         MATCH(1,
               (A178&gt;=Cleaned_Campaign_Data!$C:$C)*
               (A178&lt;=Cleaned_Campaign_Data!$D:$D),
               0)
        ),
   "No Campaign"
)</f>
        <v>No Campaign</v>
      </c>
    </row>
    <row r="179" spans="1:9" ht="14.95" thickBot="1" x14ac:dyDescent="0.35">
      <c r="A179" s="15">
        <v>45754</v>
      </c>
      <c r="B179" s="7" t="s">
        <v>30</v>
      </c>
      <c r="C179" s="8">
        <v>1307</v>
      </c>
      <c r="D179" s="8">
        <v>278</v>
      </c>
      <c r="E179" s="8">
        <v>98596</v>
      </c>
      <c r="F179" s="8">
        <v>2.4900000000000002</v>
      </c>
      <c r="G179" s="8">
        <v>47603</v>
      </c>
      <c r="H179">
        <f t="shared" si="2"/>
        <v>1029</v>
      </c>
      <c r="I179" t="str">
        <f t="array" ref="I179">IFERROR(
   INDEX(Cleaned_Campaign_Data!$B:$B,
         MATCH(1,
               (A179&gt;=Cleaned_Campaign_Data!$C:$C)*
               (A179&lt;=Cleaned_Campaign_Data!$D:$D),
               0)
        ),
   "No Campaign"
)</f>
        <v>No Campaign</v>
      </c>
    </row>
    <row r="180" spans="1:9" ht="14.95" thickBot="1" x14ac:dyDescent="0.35">
      <c r="A180" s="15">
        <v>45754</v>
      </c>
      <c r="B180" s="7" t="s">
        <v>32</v>
      </c>
      <c r="C180" s="8">
        <v>1432</v>
      </c>
      <c r="D180" s="8">
        <v>425</v>
      </c>
      <c r="E180" s="8">
        <v>29589</v>
      </c>
      <c r="F180" s="8">
        <v>4.5</v>
      </c>
      <c r="G180" s="8">
        <v>42964</v>
      </c>
      <c r="H180">
        <f t="shared" si="2"/>
        <v>1007</v>
      </c>
      <c r="I180" t="str">
        <f t="array" ref="I180">IFERROR(
   INDEX(Cleaned_Campaign_Data!$B:$B,
         MATCH(1,
               (A180&gt;=Cleaned_Campaign_Data!$C:$C)*
               (A180&lt;=Cleaned_Campaign_Data!$D:$D),
               0)
        ),
   "No Campaign"
)</f>
        <v>No Campaign</v>
      </c>
    </row>
    <row r="181" spans="1:9" ht="14.95" thickBot="1" x14ac:dyDescent="0.35">
      <c r="A181" s="15">
        <v>45754</v>
      </c>
      <c r="B181" s="7" t="s">
        <v>31</v>
      </c>
      <c r="C181" s="8">
        <v>623</v>
      </c>
      <c r="D181" s="8">
        <v>414</v>
      </c>
      <c r="E181" s="8">
        <v>290354</v>
      </c>
      <c r="F181" s="8">
        <v>6.49</v>
      </c>
      <c r="G181" s="8">
        <v>39923</v>
      </c>
      <c r="H181">
        <f t="shared" si="2"/>
        <v>209</v>
      </c>
      <c r="I181" t="str">
        <f t="array" ref="I181">IFERROR(
   INDEX(Cleaned_Campaign_Data!$B:$B,
         MATCH(1,
               (A181&gt;=Cleaned_Campaign_Data!$C:$C)*
               (A181&lt;=Cleaned_Campaign_Data!$D:$D),
               0)
        ),
   "No Campaign"
)</f>
        <v>No Campaign</v>
      </c>
    </row>
    <row r="182" spans="1:9" ht="14.95" thickBot="1" x14ac:dyDescent="0.35">
      <c r="A182" s="15">
        <v>45761</v>
      </c>
      <c r="B182" s="7" t="s">
        <v>29</v>
      </c>
      <c r="C182" s="8">
        <v>198</v>
      </c>
      <c r="D182" s="8">
        <v>358</v>
      </c>
      <c r="E182" s="8">
        <v>66682</v>
      </c>
      <c r="F182" s="8">
        <v>6.73</v>
      </c>
      <c r="G182" s="8">
        <v>2293</v>
      </c>
      <c r="H182">
        <f t="shared" si="2"/>
        <v>-160</v>
      </c>
      <c r="I182" t="str">
        <f t="array" ref="I182">IFERROR(
   INDEX(Cleaned_Campaign_Data!$B:$B,
         MATCH(1,
               (A182&gt;=Cleaned_Campaign_Data!$C:$C)*
               (A182&lt;=Cleaned_Campaign_Data!$D:$D),
               0)
        ),
   "No Campaign"
)</f>
        <v>No Campaign</v>
      </c>
    </row>
    <row r="183" spans="1:9" ht="14.95" thickBot="1" x14ac:dyDescent="0.35">
      <c r="A183" s="15">
        <v>45761</v>
      </c>
      <c r="B183" s="7" t="s">
        <v>30</v>
      </c>
      <c r="C183" s="8">
        <v>198</v>
      </c>
      <c r="D183" s="8">
        <v>373</v>
      </c>
      <c r="E183" s="8">
        <v>70707</v>
      </c>
      <c r="F183" s="8">
        <v>4.83</v>
      </c>
      <c r="G183" s="8">
        <v>25920</v>
      </c>
      <c r="H183">
        <f t="shared" si="2"/>
        <v>-175</v>
      </c>
      <c r="I183" t="str">
        <f t="array" ref="I183">IFERROR(
   INDEX(Cleaned_Campaign_Data!$B:$B,
         MATCH(1,
               (A183&gt;=Cleaned_Campaign_Data!$C:$C)*
               (A183&lt;=Cleaned_Campaign_Data!$D:$D),
               0)
        ),
   "No Campaign"
)</f>
        <v>No Campaign</v>
      </c>
    </row>
    <row r="184" spans="1:9" ht="14.95" thickBot="1" x14ac:dyDescent="0.35">
      <c r="A184" s="15">
        <v>45761</v>
      </c>
      <c r="B184" s="7" t="s">
        <v>32</v>
      </c>
      <c r="C184" s="8">
        <v>353</v>
      </c>
      <c r="D184" s="8">
        <v>300</v>
      </c>
      <c r="E184" s="8">
        <v>142507</v>
      </c>
      <c r="F184" s="8">
        <v>5.3</v>
      </c>
      <c r="G184" s="8">
        <v>11035</v>
      </c>
      <c r="H184">
        <f t="shared" si="2"/>
        <v>53</v>
      </c>
      <c r="I184" t="str">
        <f t="array" ref="I184">IFERROR(
   INDEX(Cleaned_Campaign_Data!$B:$B,
         MATCH(1,
               (A184&gt;=Cleaned_Campaign_Data!$C:$C)*
               (A184&lt;=Cleaned_Campaign_Data!$D:$D),
               0)
        ),
   "No Campaign"
)</f>
        <v>No Campaign</v>
      </c>
    </row>
    <row r="185" spans="1:9" ht="14.95" thickBot="1" x14ac:dyDescent="0.35">
      <c r="A185" s="15">
        <v>45761</v>
      </c>
      <c r="B185" s="7" t="s">
        <v>31</v>
      </c>
      <c r="C185" s="8">
        <v>520</v>
      </c>
      <c r="D185" s="8">
        <v>375</v>
      </c>
      <c r="E185" s="8">
        <v>369525</v>
      </c>
      <c r="F185" s="8">
        <v>6.54</v>
      </c>
      <c r="G185" s="8">
        <v>20733</v>
      </c>
      <c r="H185">
        <f t="shared" si="2"/>
        <v>145</v>
      </c>
      <c r="I185" t="str">
        <f t="array" ref="I185">IFERROR(
   INDEX(Cleaned_Campaign_Data!$B:$B,
         MATCH(1,
               (A185&gt;=Cleaned_Campaign_Data!$C:$C)*
               (A185&lt;=Cleaned_Campaign_Data!$D:$D),
               0)
        ),
   "No Campaign"
)</f>
        <v>No Campaign</v>
      </c>
    </row>
    <row r="186" spans="1:9" ht="14.95" thickBot="1" x14ac:dyDescent="0.35">
      <c r="A186" s="15">
        <v>45768</v>
      </c>
      <c r="B186" s="7" t="s">
        <v>29</v>
      </c>
      <c r="C186" s="8">
        <v>961</v>
      </c>
      <c r="D186" s="8">
        <v>358</v>
      </c>
      <c r="E186" s="8">
        <v>62942</v>
      </c>
      <c r="F186" s="8">
        <v>6.8</v>
      </c>
      <c r="G186" s="8">
        <v>18693</v>
      </c>
      <c r="H186">
        <f t="shared" si="2"/>
        <v>603</v>
      </c>
      <c r="I186" t="str">
        <f t="array" ref="I186">IFERROR(
   INDEX(Cleaned_Campaign_Data!$B:$B,
         MATCH(1,
               (A186&gt;=Cleaned_Campaign_Data!$C:$C)*
               (A186&lt;=Cleaned_Campaign_Data!$D:$D),
               0)
        ),
   "No Campaign"
)</f>
        <v>No Campaign</v>
      </c>
    </row>
    <row r="187" spans="1:9" ht="14.95" thickBot="1" x14ac:dyDescent="0.35">
      <c r="A187" s="15">
        <v>45768</v>
      </c>
      <c r="B187" s="7" t="s">
        <v>30</v>
      </c>
      <c r="C187" s="8">
        <v>1375</v>
      </c>
      <c r="D187" s="8">
        <v>330</v>
      </c>
      <c r="E187" s="8">
        <v>377382</v>
      </c>
      <c r="F187" s="8">
        <v>2.6</v>
      </c>
      <c r="G187" s="8">
        <v>7875</v>
      </c>
      <c r="H187">
        <f t="shared" si="2"/>
        <v>1045</v>
      </c>
      <c r="I187" t="str">
        <f t="array" ref="I187">IFERROR(
   INDEX(Cleaned_Campaign_Data!$B:$B,
         MATCH(1,
               (A187&gt;=Cleaned_Campaign_Data!$C:$C)*
               (A187&lt;=Cleaned_Campaign_Data!$D:$D),
               0)
        ),
   "No Campaign"
)</f>
        <v>No Campaign</v>
      </c>
    </row>
    <row r="188" spans="1:9" ht="14.95" thickBot="1" x14ac:dyDescent="0.35">
      <c r="A188" s="15">
        <v>45768</v>
      </c>
      <c r="B188" s="7" t="s">
        <v>32</v>
      </c>
      <c r="C188" s="8">
        <v>1147</v>
      </c>
      <c r="D188" s="8">
        <v>388</v>
      </c>
      <c r="E188" s="8">
        <v>333851</v>
      </c>
      <c r="F188" s="8">
        <v>2.44</v>
      </c>
      <c r="G188" s="8">
        <v>8471</v>
      </c>
      <c r="H188">
        <f t="shared" si="2"/>
        <v>759</v>
      </c>
      <c r="I188" t="str">
        <f t="array" ref="I188">IFERROR(
   INDEX(Cleaned_Campaign_Data!$B:$B,
         MATCH(1,
               (A188&gt;=Cleaned_Campaign_Data!$C:$C)*
               (A188&lt;=Cleaned_Campaign_Data!$D:$D),
               0)
        ),
   "No Campaign"
)</f>
        <v>No Campaign</v>
      </c>
    </row>
    <row r="189" spans="1:9" ht="14.95" thickBot="1" x14ac:dyDescent="0.35">
      <c r="A189" s="15">
        <v>45768</v>
      </c>
      <c r="B189" s="7" t="s">
        <v>31</v>
      </c>
      <c r="C189" s="8">
        <v>1707</v>
      </c>
      <c r="D189" s="8">
        <v>74</v>
      </c>
      <c r="E189" s="8">
        <v>270958</v>
      </c>
      <c r="F189" s="8">
        <v>3.09</v>
      </c>
      <c r="G189" s="8">
        <v>14090</v>
      </c>
      <c r="H189">
        <f t="shared" si="2"/>
        <v>1633</v>
      </c>
      <c r="I189" t="str">
        <f t="array" ref="I189">IFERROR(
   INDEX(Cleaned_Campaign_Data!$B:$B,
         MATCH(1,
               (A189&gt;=Cleaned_Campaign_Data!$C:$C)*
               (A189&lt;=Cleaned_Campaign_Data!$D:$D),
               0)
        ),
   "No Campaign"
)</f>
        <v>No Campaign</v>
      </c>
    </row>
    <row r="190" spans="1:9" ht="14.95" thickBot="1" x14ac:dyDescent="0.35">
      <c r="A190" s="15">
        <v>45775</v>
      </c>
      <c r="B190" s="7" t="s">
        <v>29</v>
      </c>
      <c r="C190" s="8">
        <v>1693</v>
      </c>
      <c r="D190" s="8">
        <v>154</v>
      </c>
      <c r="E190" s="8">
        <v>445944</v>
      </c>
      <c r="F190" s="8">
        <v>5.69</v>
      </c>
      <c r="G190" s="8">
        <v>14216</v>
      </c>
      <c r="H190">
        <f t="shared" si="2"/>
        <v>1539</v>
      </c>
      <c r="I190" t="str">
        <f t="array" ref="I190">IFERROR(
   INDEX(Cleaned_Campaign_Data!$B:$B,
         MATCH(1,
               (A190&gt;=Cleaned_Campaign_Data!$C:$C)*
               (A190&lt;=Cleaned_Campaign_Data!$D:$D),
               0)
        ),
   "No Campaign"
)</f>
        <v>No Campaign</v>
      </c>
    </row>
    <row r="191" spans="1:9" ht="14.95" thickBot="1" x14ac:dyDescent="0.35">
      <c r="A191" s="15">
        <v>45775</v>
      </c>
      <c r="B191" s="7" t="s">
        <v>30</v>
      </c>
      <c r="C191" s="8">
        <v>833</v>
      </c>
      <c r="D191" s="8">
        <v>380</v>
      </c>
      <c r="E191" s="8">
        <v>224830</v>
      </c>
      <c r="F191" s="8">
        <v>3.86</v>
      </c>
      <c r="G191" s="8">
        <v>3582</v>
      </c>
      <c r="H191">
        <f t="shared" si="2"/>
        <v>453</v>
      </c>
      <c r="I191" t="str">
        <f t="array" ref="I191">IFERROR(
   INDEX(Cleaned_Campaign_Data!$B:$B,
         MATCH(1,
               (A191&gt;=Cleaned_Campaign_Data!$C:$C)*
               (A191&lt;=Cleaned_Campaign_Data!$D:$D),
               0)
        ),
   "No Campaign"
)</f>
        <v>No Campaign</v>
      </c>
    </row>
    <row r="192" spans="1:9" ht="14.95" thickBot="1" x14ac:dyDescent="0.35">
      <c r="A192" s="15">
        <v>45775</v>
      </c>
      <c r="B192" s="7" t="s">
        <v>32</v>
      </c>
      <c r="C192" s="8">
        <v>1222</v>
      </c>
      <c r="D192" s="8">
        <v>274</v>
      </c>
      <c r="E192" s="8">
        <v>487289</v>
      </c>
      <c r="F192" s="8">
        <v>3.16</v>
      </c>
      <c r="G192" s="8">
        <v>32500</v>
      </c>
      <c r="H192">
        <f t="shared" si="2"/>
        <v>948</v>
      </c>
      <c r="I192" t="str">
        <f t="array" ref="I192">IFERROR(
   INDEX(Cleaned_Campaign_Data!$B:$B,
         MATCH(1,
               (A192&gt;=Cleaned_Campaign_Data!$C:$C)*
               (A192&lt;=Cleaned_Campaign_Data!$D:$D),
               0)
        ),
   "No Campaign"
)</f>
        <v>No Campaign</v>
      </c>
    </row>
    <row r="193" spans="1:9" ht="14.95" thickBot="1" x14ac:dyDescent="0.35">
      <c r="A193" s="15">
        <v>45775</v>
      </c>
      <c r="B193" s="7" t="s">
        <v>31</v>
      </c>
      <c r="C193" s="8">
        <v>777</v>
      </c>
      <c r="D193" s="8">
        <v>140</v>
      </c>
      <c r="E193" s="8">
        <v>11435</v>
      </c>
      <c r="F193" s="8">
        <v>1.6</v>
      </c>
      <c r="G193" s="8">
        <v>6832</v>
      </c>
      <c r="H193">
        <f t="shared" si="2"/>
        <v>637</v>
      </c>
      <c r="I193" t="str">
        <f t="array" ref="I193">IFERROR(
   INDEX(Cleaned_Campaign_Data!$B:$B,
         MATCH(1,
               (A193&gt;=Cleaned_Campaign_Data!$C:$C)*
               (A193&lt;=Cleaned_Campaign_Data!$D:$D),
               0)
        ),
   "No Campaign"
)</f>
        <v>No Campaign</v>
      </c>
    </row>
    <row r="194" spans="1:9" ht="14.95" thickBot="1" x14ac:dyDescent="0.35">
      <c r="A194" s="15">
        <v>45782</v>
      </c>
      <c r="B194" s="7" t="s">
        <v>29</v>
      </c>
      <c r="C194" s="8">
        <v>1957</v>
      </c>
      <c r="D194" s="8">
        <v>76</v>
      </c>
      <c r="E194" s="8">
        <v>447902</v>
      </c>
      <c r="F194" s="8">
        <v>6.09</v>
      </c>
      <c r="G194" s="8">
        <v>33381</v>
      </c>
      <c r="H194">
        <f t="shared" si="2"/>
        <v>1881</v>
      </c>
      <c r="I194" t="str">
        <f t="array" ref="I194">IFERROR(
   INDEX(Cleaned_Campaign_Data!$B:$B,
         MATCH(1,
               (A194&gt;=Cleaned_Campaign_Data!$C:$C)*
               (A194&lt;=Cleaned_Campaign_Data!$D:$D),
               0)
        ),
   "No Campaign"
)</f>
        <v>No Campaign</v>
      </c>
    </row>
    <row r="195" spans="1:9" ht="14.95" thickBot="1" x14ac:dyDescent="0.35">
      <c r="A195" s="15">
        <v>45782</v>
      </c>
      <c r="B195" s="7" t="s">
        <v>30</v>
      </c>
      <c r="C195" s="8">
        <v>405</v>
      </c>
      <c r="D195" s="8">
        <v>66</v>
      </c>
      <c r="E195" s="8">
        <v>418696</v>
      </c>
      <c r="F195" s="8">
        <v>5.59</v>
      </c>
      <c r="G195" s="8">
        <v>48419</v>
      </c>
      <c r="H195">
        <f t="shared" ref="H195:H201" si="3" xml:space="preserve"> C195 - D195</f>
        <v>339</v>
      </c>
      <c r="I195" t="str">
        <f t="array" ref="I195">IFERROR(
   INDEX(Cleaned_Campaign_Data!$B:$B,
         MATCH(1,
               (A195&gt;=Cleaned_Campaign_Data!$C:$C)*
               (A195&lt;=Cleaned_Campaign_Data!$D:$D),
               0)
        ),
   "No Campaign"
)</f>
        <v>No Campaign</v>
      </c>
    </row>
    <row r="196" spans="1:9" ht="14.95" thickBot="1" x14ac:dyDescent="0.35">
      <c r="A196" s="15">
        <v>45782</v>
      </c>
      <c r="B196" s="7" t="s">
        <v>32</v>
      </c>
      <c r="C196" s="8">
        <v>1581</v>
      </c>
      <c r="D196" s="8">
        <v>71</v>
      </c>
      <c r="E196" s="8">
        <v>484364</v>
      </c>
      <c r="F196" s="8">
        <v>3.55</v>
      </c>
      <c r="G196" s="8">
        <v>16149</v>
      </c>
      <c r="H196">
        <f t="shared" si="3"/>
        <v>1510</v>
      </c>
      <c r="I196" t="str">
        <f t="array" ref="I196">IFERROR(
   INDEX(Cleaned_Campaign_Data!$B:$B,
         MATCH(1,
               (A196&gt;=Cleaned_Campaign_Data!$C:$C)*
               (A196&lt;=Cleaned_Campaign_Data!$D:$D),
               0)
        ),
   "No Campaign"
)</f>
        <v>No Campaign</v>
      </c>
    </row>
    <row r="197" spans="1:9" ht="14.95" thickBot="1" x14ac:dyDescent="0.35">
      <c r="A197" s="15">
        <v>45782</v>
      </c>
      <c r="B197" s="7" t="s">
        <v>31</v>
      </c>
      <c r="C197" s="8">
        <v>1035</v>
      </c>
      <c r="D197" s="8">
        <v>171</v>
      </c>
      <c r="E197" s="8">
        <v>148477</v>
      </c>
      <c r="F197" s="8">
        <v>5.21</v>
      </c>
      <c r="G197" s="8">
        <v>7541</v>
      </c>
      <c r="H197">
        <f t="shared" si="3"/>
        <v>864</v>
      </c>
      <c r="I197" t="str">
        <f t="array" ref="I197">IFERROR(
   INDEX(Cleaned_Campaign_Data!$B:$B,
         MATCH(1,
               (A197&gt;=Cleaned_Campaign_Data!$C:$C)*
               (A197&lt;=Cleaned_Campaign_Data!$D:$D),
               0)
        ),
   "No Campaign"
)</f>
        <v>No Campaign</v>
      </c>
    </row>
    <row r="198" spans="1:9" ht="14.95" thickBot="1" x14ac:dyDescent="0.35">
      <c r="A198" s="15">
        <v>45789</v>
      </c>
      <c r="B198" s="7" t="s">
        <v>29</v>
      </c>
      <c r="C198" s="8">
        <v>1765</v>
      </c>
      <c r="D198" s="8">
        <v>109</v>
      </c>
      <c r="E198" s="8">
        <v>468301</v>
      </c>
      <c r="F198" s="8">
        <v>1.82</v>
      </c>
      <c r="G198" s="8">
        <v>20042</v>
      </c>
      <c r="H198">
        <f t="shared" si="3"/>
        <v>1656</v>
      </c>
      <c r="I198" t="str">
        <f t="array" ref="I198">IFERROR(
   INDEX(Cleaned_Campaign_Data!$B:$B,
         MATCH(1,
               (A198&gt;=Cleaned_Campaign_Data!$C:$C)*
               (A198&lt;=Cleaned_Campaign_Data!$D:$D),
               0)
        ),
   "No Campaign"
)</f>
        <v>No Campaign</v>
      </c>
    </row>
    <row r="199" spans="1:9" ht="14.95" thickBot="1" x14ac:dyDescent="0.35">
      <c r="A199" s="15">
        <v>45789</v>
      </c>
      <c r="B199" s="7" t="s">
        <v>30</v>
      </c>
      <c r="C199" s="8">
        <v>837</v>
      </c>
      <c r="D199" s="8">
        <v>430</v>
      </c>
      <c r="E199" s="8">
        <v>364820</v>
      </c>
      <c r="F199" s="8">
        <v>4</v>
      </c>
      <c r="G199" s="8">
        <v>49400</v>
      </c>
      <c r="H199">
        <f t="shared" si="3"/>
        <v>407</v>
      </c>
      <c r="I199" t="str">
        <f t="array" ref="I199">IFERROR(
   INDEX(Cleaned_Campaign_Data!$B:$B,
         MATCH(1,
               (A199&gt;=Cleaned_Campaign_Data!$C:$C)*
               (A199&lt;=Cleaned_Campaign_Data!$D:$D),
               0)
        ),
   "No Campaign"
)</f>
        <v>No Campaign</v>
      </c>
    </row>
    <row r="200" spans="1:9" ht="14.95" thickBot="1" x14ac:dyDescent="0.35">
      <c r="A200" s="15">
        <v>45789</v>
      </c>
      <c r="B200" s="7" t="s">
        <v>32</v>
      </c>
      <c r="C200" s="8">
        <v>337</v>
      </c>
      <c r="D200" s="8">
        <v>68</v>
      </c>
      <c r="E200" s="8">
        <v>456298</v>
      </c>
      <c r="F200" s="8">
        <v>7.57</v>
      </c>
      <c r="G200" s="8">
        <v>4007</v>
      </c>
      <c r="H200">
        <f t="shared" si="3"/>
        <v>269</v>
      </c>
      <c r="I200" t="str">
        <f t="array" ref="I200">IFERROR(
   INDEX(Cleaned_Campaign_Data!$B:$B,
         MATCH(1,
               (A200&gt;=Cleaned_Campaign_Data!$C:$C)*
               (A200&lt;=Cleaned_Campaign_Data!$D:$D),
               0)
        ),
   "No Campaign"
)</f>
        <v>No Campaign</v>
      </c>
    </row>
    <row r="201" spans="1:9" ht="14.95" thickBot="1" x14ac:dyDescent="0.35">
      <c r="A201" s="15">
        <v>45789</v>
      </c>
      <c r="B201" s="7" t="s">
        <v>31</v>
      </c>
      <c r="C201" s="8">
        <v>119</v>
      </c>
      <c r="D201" s="8">
        <v>456</v>
      </c>
      <c r="E201" s="8">
        <v>82558</v>
      </c>
      <c r="F201" s="8">
        <v>6.81</v>
      </c>
      <c r="G201" s="8">
        <v>12174</v>
      </c>
      <c r="H201">
        <f t="shared" si="3"/>
        <v>-337</v>
      </c>
      <c r="I201" t="str">
        <f t="array" ref="I201">IFERROR(
   INDEX(Cleaned_Campaign_Data!$B:$B,
         MATCH(1,
               (A201&gt;=Cleaned_Campaign_Data!$C:$C)*
               (A201&lt;=Cleaned_Campaign_Data!$D:$D),
               0)
        ),
   "No Campaign"
)</f>
        <v>No Campaign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5225-8B19-4489-9841-3EB0A4832843}">
  <dimension ref="A1:G5"/>
  <sheetViews>
    <sheetView workbookViewId="0">
      <selection activeCell="F15" sqref="F15"/>
    </sheetView>
  </sheetViews>
  <sheetFormatPr defaultRowHeight="14.4" x14ac:dyDescent="0.3"/>
  <cols>
    <col min="1" max="1" width="17" customWidth="1"/>
    <col min="2" max="2" width="11.796875" customWidth="1"/>
    <col min="3" max="3" width="11" customWidth="1"/>
    <col min="4" max="4" width="10.69921875" customWidth="1"/>
    <col min="5" max="5" width="14" customWidth="1"/>
    <col min="6" max="6" width="17.19921875" customWidth="1"/>
    <col min="7" max="7" width="17.8984375" customWidth="1"/>
  </cols>
  <sheetData>
    <row r="1" spans="1:7" ht="14.95" thickBot="1" x14ac:dyDescent="0.35">
      <c r="A1" s="2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2" t="s">
        <v>6</v>
      </c>
    </row>
    <row r="2" spans="1:7" ht="29.35" thickBot="1" x14ac:dyDescent="0.35">
      <c r="A2" s="19" t="s">
        <v>7</v>
      </c>
      <c r="B2" s="4">
        <v>45458</v>
      </c>
      <c r="C2" s="4">
        <v>45488</v>
      </c>
      <c r="D2" s="5" t="s">
        <v>8</v>
      </c>
      <c r="E2" s="6">
        <v>150000</v>
      </c>
      <c r="F2" s="5" t="s">
        <v>9</v>
      </c>
      <c r="G2" s="20" t="s">
        <v>10</v>
      </c>
    </row>
    <row r="3" spans="1:7" ht="43.75" thickBot="1" x14ac:dyDescent="0.35">
      <c r="A3" s="19" t="s">
        <v>11</v>
      </c>
      <c r="B3" s="4">
        <v>45566</v>
      </c>
      <c r="C3" s="4">
        <v>45596</v>
      </c>
      <c r="D3" s="5" t="s">
        <v>12</v>
      </c>
      <c r="E3" s="6">
        <v>200000</v>
      </c>
      <c r="F3" s="5" t="s">
        <v>13</v>
      </c>
      <c r="G3" s="20" t="s">
        <v>14</v>
      </c>
    </row>
    <row r="4" spans="1:7" ht="29.35" thickBot="1" x14ac:dyDescent="0.35">
      <c r="A4" s="19" t="s">
        <v>15</v>
      </c>
      <c r="B4" s="4">
        <v>45651</v>
      </c>
      <c r="C4" s="4">
        <v>45667</v>
      </c>
      <c r="D4" s="5" t="s">
        <v>16</v>
      </c>
      <c r="E4" s="6">
        <v>250000</v>
      </c>
      <c r="F4" s="5" t="s">
        <v>17</v>
      </c>
      <c r="G4" s="20" t="s">
        <v>18</v>
      </c>
    </row>
    <row r="5" spans="1:7" ht="28.8" x14ac:dyDescent="0.3">
      <c r="A5" s="23" t="s">
        <v>19</v>
      </c>
      <c r="B5" s="24">
        <v>45717</v>
      </c>
      <c r="C5" s="24">
        <v>45747</v>
      </c>
      <c r="D5" s="25" t="s">
        <v>20</v>
      </c>
      <c r="E5" s="26">
        <v>180000</v>
      </c>
      <c r="F5" s="25" t="s">
        <v>21</v>
      </c>
      <c r="G5" s="27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D652-B2AC-4D97-AB83-C8D2418A1767}">
  <dimension ref="A1:I5"/>
  <sheetViews>
    <sheetView workbookViewId="0">
      <selection sqref="A1:I5"/>
    </sheetView>
  </sheetViews>
  <sheetFormatPr defaultRowHeight="14.4" x14ac:dyDescent="0.3"/>
  <cols>
    <col min="1" max="1" width="13.8984375" customWidth="1"/>
    <col min="2" max="2" width="17" customWidth="1"/>
    <col min="3" max="3" width="11.796875" style="3" customWidth="1"/>
    <col min="4" max="4" width="11" style="3" customWidth="1"/>
    <col min="5" max="5" width="15.296875" customWidth="1"/>
    <col min="6" max="6" width="11.69921875" customWidth="1"/>
    <col min="7" max="8" width="18.09765625" customWidth="1"/>
    <col min="9" max="9" width="29.69921875" customWidth="1"/>
    <col min="10" max="10" width="8.8984375" customWidth="1"/>
  </cols>
  <sheetData>
    <row r="1" spans="1:9" x14ac:dyDescent="0.3">
      <c r="A1" t="s">
        <v>23</v>
      </c>
      <c r="B1" t="s">
        <v>0</v>
      </c>
      <c r="C1" s="3" t="s">
        <v>1</v>
      </c>
      <c r="D1" s="3" t="s">
        <v>2</v>
      </c>
      <c r="E1" t="s">
        <v>3</v>
      </c>
      <c r="F1" t="s">
        <v>28</v>
      </c>
      <c r="G1" t="s">
        <v>33</v>
      </c>
      <c r="H1" t="s">
        <v>34</v>
      </c>
      <c r="I1" t="s">
        <v>6</v>
      </c>
    </row>
    <row r="2" spans="1:9" x14ac:dyDescent="0.3">
      <c r="A2" t="s">
        <v>24</v>
      </c>
      <c r="B2" t="s">
        <v>7</v>
      </c>
      <c r="C2" s="3">
        <v>45458</v>
      </c>
      <c r="D2" s="3">
        <v>45488</v>
      </c>
      <c r="E2" t="s">
        <v>8</v>
      </c>
      <c r="F2">
        <v>150000</v>
      </c>
      <c r="G2" t="s">
        <v>29</v>
      </c>
      <c r="H2" t="s">
        <v>30</v>
      </c>
      <c r="I2" t="s">
        <v>10</v>
      </c>
    </row>
    <row r="3" spans="1:9" x14ac:dyDescent="0.3">
      <c r="A3" t="s">
        <v>25</v>
      </c>
      <c r="B3" t="s">
        <v>11</v>
      </c>
      <c r="C3" s="3">
        <v>45566</v>
      </c>
      <c r="D3" s="3">
        <v>45596</v>
      </c>
      <c r="E3" t="s">
        <v>12</v>
      </c>
      <c r="F3">
        <v>200000</v>
      </c>
      <c r="G3" t="s">
        <v>29</v>
      </c>
      <c r="H3" t="s">
        <v>31</v>
      </c>
      <c r="I3" t="s">
        <v>14</v>
      </c>
    </row>
    <row r="4" spans="1:9" x14ac:dyDescent="0.3">
      <c r="A4" t="s">
        <v>26</v>
      </c>
      <c r="B4" t="s">
        <v>15</v>
      </c>
      <c r="C4" s="3">
        <v>45651</v>
      </c>
      <c r="D4" s="3">
        <v>45667</v>
      </c>
      <c r="E4" t="s">
        <v>16</v>
      </c>
      <c r="F4">
        <v>250000</v>
      </c>
      <c r="G4" t="s">
        <v>30</v>
      </c>
      <c r="H4" t="s">
        <v>32</v>
      </c>
      <c r="I4" t="s">
        <v>18</v>
      </c>
    </row>
    <row r="5" spans="1:9" x14ac:dyDescent="0.3">
      <c r="A5" t="s">
        <v>27</v>
      </c>
      <c r="B5" t="s">
        <v>19</v>
      </c>
      <c r="C5" s="3">
        <v>45717</v>
      </c>
      <c r="D5" s="3">
        <v>45747</v>
      </c>
      <c r="E5" t="s">
        <v>20</v>
      </c>
      <c r="F5">
        <v>180000</v>
      </c>
      <c r="G5" t="s">
        <v>29</v>
      </c>
      <c r="H5" t="s">
        <v>32</v>
      </c>
      <c r="I5" t="s">
        <v>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0811-BE28-493A-83B3-B0D553DA4993}">
  <dimension ref="A1:D1000"/>
  <sheetViews>
    <sheetView tabSelected="1" workbookViewId="0">
      <selection activeCell="I18" sqref="I18"/>
    </sheetView>
  </sheetViews>
  <sheetFormatPr defaultRowHeight="14.4" x14ac:dyDescent="0.3"/>
  <cols>
    <col min="1" max="1" width="9.3984375" bestFit="1" customWidth="1"/>
    <col min="2" max="2" width="15.296875" bestFit="1" customWidth="1"/>
    <col min="3" max="3" width="10" bestFit="1" customWidth="1"/>
    <col min="4" max="4" width="19.59765625" bestFit="1" customWidth="1"/>
  </cols>
  <sheetData>
    <row r="1" spans="1:4" ht="14.95" thickBot="1" x14ac:dyDescent="0.35">
      <c r="A1" s="9" t="s">
        <v>35</v>
      </c>
      <c r="B1" s="10" t="s">
        <v>36</v>
      </c>
      <c r="C1" s="10" t="s">
        <v>37</v>
      </c>
      <c r="D1" s="10" t="s">
        <v>0</v>
      </c>
    </row>
    <row r="2" spans="1:4" ht="14.95" thickBot="1" x14ac:dyDescent="0.35">
      <c r="A2" s="8">
        <v>1461</v>
      </c>
      <c r="B2" s="8">
        <v>21915</v>
      </c>
      <c r="C2" s="8">
        <v>15</v>
      </c>
      <c r="D2" s="7" t="s">
        <v>7</v>
      </c>
    </row>
    <row r="3" spans="1:4" ht="29.35" thickBot="1" x14ac:dyDescent="0.35">
      <c r="A3" s="8">
        <v>4054</v>
      </c>
      <c r="B3" s="8">
        <v>64864</v>
      </c>
      <c r="C3" s="8">
        <v>117</v>
      </c>
      <c r="D3" s="7" t="s">
        <v>11</v>
      </c>
    </row>
    <row r="4" spans="1:4" ht="29.35" thickBot="1" x14ac:dyDescent="0.35">
      <c r="A4" s="8">
        <v>2795</v>
      </c>
      <c r="B4" s="8">
        <v>53105</v>
      </c>
      <c r="C4" s="8">
        <v>204</v>
      </c>
      <c r="D4" s="7" t="s">
        <v>15</v>
      </c>
    </row>
    <row r="5" spans="1:4" ht="29.35" thickBot="1" x14ac:dyDescent="0.35">
      <c r="A5" s="8">
        <v>2404</v>
      </c>
      <c r="B5" s="8">
        <v>19232</v>
      </c>
      <c r="C5" s="8">
        <v>128</v>
      </c>
      <c r="D5" s="7" t="s">
        <v>19</v>
      </c>
    </row>
    <row r="6" spans="1:4" ht="29.35" thickBot="1" x14ac:dyDescent="0.35">
      <c r="A6" s="8">
        <v>3557</v>
      </c>
      <c r="B6" s="8">
        <v>71140</v>
      </c>
      <c r="C6" s="8">
        <v>224</v>
      </c>
      <c r="D6" s="7" t="s">
        <v>7</v>
      </c>
    </row>
    <row r="7" spans="1:4" ht="29.35" thickBot="1" x14ac:dyDescent="0.35">
      <c r="A7" s="8">
        <v>2945</v>
      </c>
      <c r="B7" s="8">
        <v>23560</v>
      </c>
      <c r="C7" s="8">
        <v>256</v>
      </c>
      <c r="D7" s="7" t="s">
        <v>11</v>
      </c>
    </row>
    <row r="8" spans="1:4" ht="29.35" thickBot="1" x14ac:dyDescent="0.35">
      <c r="A8" s="8">
        <v>3860</v>
      </c>
      <c r="B8" s="8">
        <v>61760</v>
      </c>
      <c r="C8" s="8">
        <v>235</v>
      </c>
      <c r="D8" s="7" t="s">
        <v>11</v>
      </c>
    </row>
    <row r="9" spans="1:4" ht="29.35" thickBot="1" x14ac:dyDescent="0.35">
      <c r="A9" s="8">
        <v>3929</v>
      </c>
      <c r="B9" s="8">
        <v>43219</v>
      </c>
      <c r="C9" s="8">
        <v>39</v>
      </c>
      <c r="D9" s="7" t="s">
        <v>19</v>
      </c>
    </row>
    <row r="10" spans="1:4" ht="29.35" thickBot="1" x14ac:dyDescent="0.35">
      <c r="A10" s="8">
        <v>3784</v>
      </c>
      <c r="B10" s="8">
        <v>56760</v>
      </c>
      <c r="C10" s="8">
        <v>131</v>
      </c>
      <c r="D10" s="7" t="s">
        <v>11</v>
      </c>
    </row>
    <row r="11" spans="1:4" ht="29.35" thickBot="1" x14ac:dyDescent="0.35">
      <c r="A11" s="8">
        <v>4241</v>
      </c>
      <c r="B11" s="8">
        <v>72097</v>
      </c>
      <c r="C11" s="8">
        <v>167</v>
      </c>
      <c r="D11" s="7" t="s">
        <v>11</v>
      </c>
    </row>
    <row r="12" spans="1:4" ht="29.35" thickBot="1" x14ac:dyDescent="0.35">
      <c r="A12" s="8">
        <v>1792</v>
      </c>
      <c r="B12" s="8">
        <v>25088</v>
      </c>
      <c r="C12" s="8">
        <v>65</v>
      </c>
      <c r="D12" s="7" t="s">
        <v>19</v>
      </c>
    </row>
    <row r="13" spans="1:4" ht="29.35" thickBot="1" x14ac:dyDescent="0.35">
      <c r="A13" s="8">
        <v>1946</v>
      </c>
      <c r="B13" s="8">
        <v>23352</v>
      </c>
      <c r="C13" s="8">
        <v>213</v>
      </c>
      <c r="D13" s="7" t="s">
        <v>15</v>
      </c>
    </row>
    <row r="14" spans="1:4" ht="14.95" thickBot="1" x14ac:dyDescent="0.35">
      <c r="A14" s="8">
        <v>1171</v>
      </c>
      <c r="B14" s="8">
        <v>22249</v>
      </c>
      <c r="C14" s="8">
        <v>114</v>
      </c>
      <c r="D14" s="7" t="s">
        <v>7</v>
      </c>
    </row>
    <row r="15" spans="1:4" ht="14.95" thickBot="1" x14ac:dyDescent="0.35">
      <c r="A15" s="8">
        <v>4242</v>
      </c>
      <c r="B15" s="8">
        <v>33936</v>
      </c>
      <c r="C15" s="8">
        <v>265</v>
      </c>
      <c r="D15" s="7"/>
    </row>
    <row r="16" spans="1:4" ht="14.95" thickBot="1" x14ac:dyDescent="0.35">
      <c r="A16" s="8">
        <v>3888</v>
      </c>
      <c r="B16" s="8">
        <v>77760</v>
      </c>
      <c r="C16" s="8">
        <v>20</v>
      </c>
      <c r="D16" s="7" t="s">
        <v>7</v>
      </c>
    </row>
    <row r="17" spans="1:4" ht="14.95" thickBot="1" x14ac:dyDescent="0.35">
      <c r="A17" s="8">
        <v>3452</v>
      </c>
      <c r="B17" s="8">
        <v>55232</v>
      </c>
      <c r="C17" s="8">
        <v>87</v>
      </c>
      <c r="D17" s="7" t="s">
        <v>15</v>
      </c>
    </row>
    <row r="18" spans="1:4" ht="14.95" thickBot="1" x14ac:dyDescent="0.35">
      <c r="A18" s="8">
        <v>4441</v>
      </c>
      <c r="B18" s="8">
        <v>53292</v>
      </c>
      <c r="C18" s="8">
        <v>159</v>
      </c>
      <c r="D18" s="7" t="s">
        <v>19</v>
      </c>
    </row>
    <row r="19" spans="1:4" ht="14.95" thickBot="1" x14ac:dyDescent="0.35">
      <c r="A19" s="8">
        <v>3000</v>
      </c>
      <c r="B19" s="8">
        <v>36000</v>
      </c>
      <c r="C19" s="8">
        <v>19</v>
      </c>
      <c r="D19" s="7" t="s">
        <v>7</v>
      </c>
    </row>
    <row r="20" spans="1:4" ht="14.95" thickBot="1" x14ac:dyDescent="0.35">
      <c r="A20" s="8">
        <v>1071</v>
      </c>
      <c r="B20" s="8">
        <v>16065</v>
      </c>
      <c r="C20" s="8">
        <v>103</v>
      </c>
      <c r="D20" s="7" t="s">
        <v>19</v>
      </c>
    </row>
    <row r="21" spans="1:4" ht="14.95" thickBot="1" x14ac:dyDescent="0.35">
      <c r="A21" s="8">
        <v>4054</v>
      </c>
      <c r="B21" s="8">
        <v>77026</v>
      </c>
      <c r="C21" s="8">
        <v>25</v>
      </c>
      <c r="D21" s="7" t="s">
        <v>7</v>
      </c>
    </row>
    <row r="22" spans="1:4" ht="14.95" thickBot="1" x14ac:dyDescent="0.35">
      <c r="A22" s="8">
        <v>4838</v>
      </c>
      <c r="B22" s="8">
        <v>72570</v>
      </c>
      <c r="C22" s="8">
        <v>83</v>
      </c>
      <c r="D22" s="7" t="s">
        <v>19</v>
      </c>
    </row>
    <row r="23" spans="1:4" ht="14.95" thickBot="1" x14ac:dyDescent="0.35">
      <c r="A23" s="8">
        <v>1570</v>
      </c>
      <c r="B23" s="8">
        <v>25120</v>
      </c>
      <c r="C23" s="8">
        <v>133</v>
      </c>
      <c r="D23" s="7" t="s">
        <v>19</v>
      </c>
    </row>
    <row r="24" spans="1:4" ht="14.95" thickBot="1" x14ac:dyDescent="0.35">
      <c r="A24" s="8">
        <v>1606</v>
      </c>
      <c r="B24" s="8">
        <v>32120</v>
      </c>
      <c r="C24" s="8">
        <v>225</v>
      </c>
      <c r="D24" s="7" t="s">
        <v>11</v>
      </c>
    </row>
    <row r="25" spans="1:4" ht="14.95" thickBot="1" x14ac:dyDescent="0.35">
      <c r="A25" s="8">
        <v>3961</v>
      </c>
      <c r="B25" s="8">
        <v>67337</v>
      </c>
      <c r="C25" s="8">
        <v>161</v>
      </c>
      <c r="D25" s="7" t="s">
        <v>15</v>
      </c>
    </row>
    <row r="26" spans="1:4" ht="14.95" thickBot="1" x14ac:dyDescent="0.35">
      <c r="A26" s="8">
        <v>3128</v>
      </c>
      <c r="B26" s="8">
        <v>59432</v>
      </c>
      <c r="C26" s="8">
        <v>238</v>
      </c>
      <c r="D26" s="7"/>
    </row>
    <row r="27" spans="1:4" ht="14.95" thickBot="1" x14ac:dyDescent="0.35">
      <c r="A27" s="8">
        <v>3009</v>
      </c>
      <c r="B27" s="8">
        <v>42126</v>
      </c>
      <c r="C27" s="8">
        <v>211</v>
      </c>
      <c r="D27" s="7" t="s">
        <v>11</v>
      </c>
    </row>
    <row r="28" spans="1:4" ht="14.95" thickBot="1" x14ac:dyDescent="0.35">
      <c r="A28" s="8">
        <v>2076</v>
      </c>
      <c r="B28" s="8">
        <v>33216</v>
      </c>
      <c r="C28" s="8">
        <v>51</v>
      </c>
      <c r="D28" s="7" t="s">
        <v>19</v>
      </c>
    </row>
    <row r="29" spans="1:4" ht="14.95" thickBot="1" x14ac:dyDescent="0.35">
      <c r="A29" s="8">
        <v>432</v>
      </c>
      <c r="B29" s="8">
        <v>6912</v>
      </c>
      <c r="C29" s="8">
        <v>79</v>
      </c>
      <c r="D29" s="7" t="s">
        <v>19</v>
      </c>
    </row>
    <row r="30" spans="1:4" ht="14.95" thickBot="1" x14ac:dyDescent="0.35">
      <c r="A30" s="8">
        <v>2566</v>
      </c>
      <c r="B30" s="8">
        <v>12830</v>
      </c>
      <c r="C30" s="8">
        <v>221</v>
      </c>
      <c r="D30" s="7" t="s">
        <v>15</v>
      </c>
    </row>
    <row r="31" spans="1:4" ht="14.95" thickBot="1" x14ac:dyDescent="0.35">
      <c r="A31" s="8">
        <v>3095</v>
      </c>
      <c r="B31" s="8">
        <v>55710</v>
      </c>
      <c r="C31" s="8">
        <v>93</v>
      </c>
      <c r="D31" s="7"/>
    </row>
    <row r="32" spans="1:4" ht="14.95" thickBot="1" x14ac:dyDescent="0.35">
      <c r="A32" s="8">
        <v>438</v>
      </c>
      <c r="B32" s="8">
        <v>3066</v>
      </c>
      <c r="C32" s="8">
        <v>282</v>
      </c>
      <c r="D32" s="7" t="s">
        <v>11</v>
      </c>
    </row>
    <row r="33" spans="1:4" ht="14.95" thickBot="1" x14ac:dyDescent="0.35">
      <c r="A33" s="8">
        <v>2278</v>
      </c>
      <c r="B33" s="8">
        <v>13668</v>
      </c>
      <c r="C33" s="8">
        <v>275</v>
      </c>
      <c r="D33" s="7" t="s">
        <v>7</v>
      </c>
    </row>
    <row r="34" spans="1:4" ht="14.95" thickBot="1" x14ac:dyDescent="0.35">
      <c r="A34" s="8">
        <v>1407</v>
      </c>
      <c r="B34" s="8">
        <v>16884</v>
      </c>
      <c r="C34" s="8">
        <v>113</v>
      </c>
      <c r="D34" s="7" t="s">
        <v>7</v>
      </c>
    </row>
    <row r="35" spans="1:4" ht="14.95" thickBot="1" x14ac:dyDescent="0.35">
      <c r="A35" s="8">
        <v>1652</v>
      </c>
      <c r="B35" s="8">
        <v>29736</v>
      </c>
      <c r="C35" s="8">
        <v>215</v>
      </c>
      <c r="D35" s="7" t="s">
        <v>15</v>
      </c>
    </row>
    <row r="36" spans="1:4" ht="14.95" thickBot="1" x14ac:dyDescent="0.35">
      <c r="A36" s="8">
        <v>3775</v>
      </c>
      <c r="B36" s="8">
        <v>33975</v>
      </c>
      <c r="C36" s="8">
        <v>271</v>
      </c>
      <c r="D36" s="7" t="s">
        <v>11</v>
      </c>
    </row>
    <row r="37" spans="1:4" ht="14.95" thickBot="1" x14ac:dyDescent="0.35">
      <c r="A37" s="8">
        <v>4518</v>
      </c>
      <c r="B37" s="8">
        <v>67770</v>
      </c>
      <c r="C37" s="8">
        <v>31</v>
      </c>
      <c r="D37" s="7" t="s">
        <v>11</v>
      </c>
    </row>
    <row r="38" spans="1:4" ht="14.95" thickBot="1" x14ac:dyDescent="0.35">
      <c r="A38" s="8">
        <v>3024</v>
      </c>
      <c r="B38" s="8">
        <v>24192</v>
      </c>
      <c r="C38" s="8">
        <v>36</v>
      </c>
      <c r="D38" s="7" t="s">
        <v>11</v>
      </c>
    </row>
    <row r="39" spans="1:4" ht="14.95" thickBot="1" x14ac:dyDescent="0.35">
      <c r="A39" s="8">
        <v>3138</v>
      </c>
      <c r="B39" s="8">
        <v>28242</v>
      </c>
      <c r="C39" s="8">
        <v>87</v>
      </c>
      <c r="D39" s="7" t="s">
        <v>19</v>
      </c>
    </row>
    <row r="40" spans="1:4" ht="14.95" thickBot="1" x14ac:dyDescent="0.35">
      <c r="A40" s="8">
        <v>3564</v>
      </c>
      <c r="B40" s="8">
        <v>60588</v>
      </c>
      <c r="C40" s="8">
        <v>92</v>
      </c>
      <c r="D40" s="7"/>
    </row>
    <row r="41" spans="1:4" ht="14.95" thickBot="1" x14ac:dyDescent="0.35">
      <c r="A41" s="8">
        <v>4750</v>
      </c>
      <c r="B41" s="8">
        <v>38000</v>
      </c>
      <c r="C41" s="8">
        <v>299</v>
      </c>
      <c r="D41" s="7" t="s">
        <v>19</v>
      </c>
    </row>
    <row r="42" spans="1:4" ht="14.95" thickBot="1" x14ac:dyDescent="0.35">
      <c r="A42" s="8">
        <v>456</v>
      </c>
      <c r="B42" s="8">
        <v>8208</v>
      </c>
      <c r="C42" s="8">
        <v>205</v>
      </c>
      <c r="D42" s="7" t="s">
        <v>19</v>
      </c>
    </row>
    <row r="43" spans="1:4" ht="14.95" thickBot="1" x14ac:dyDescent="0.35">
      <c r="A43" s="8">
        <v>1543</v>
      </c>
      <c r="B43" s="8">
        <v>12344</v>
      </c>
      <c r="C43" s="8">
        <v>241</v>
      </c>
      <c r="D43" s="7"/>
    </row>
    <row r="44" spans="1:4" ht="14.95" thickBot="1" x14ac:dyDescent="0.35">
      <c r="A44" s="8">
        <v>2174</v>
      </c>
      <c r="B44" s="8">
        <v>13044</v>
      </c>
      <c r="C44" s="8">
        <v>137</v>
      </c>
      <c r="D44" s="7" t="s">
        <v>15</v>
      </c>
    </row>
    <row r="45" spans="1:4" ht="14.95" thickBot="1" x14ac:dyDescent="0.35">
      <c r="A45" s="8">
        <v>2358</v>
      </c>
      <c r="B45" s="8">
        <v>35370</v>
      </c>
      <c r="C45" s="8">
        <v>216</v>
      </c>
      <c r="D45" s="7"/>
    </row>
    <row r="46" spans="1:4" ht="14.95" thickBot="1" x14ac:dyDescent="0.35">
      <c r="A46" s="8">
        <v>3371</v>
      </c>
      <c r="B46" s="8">
        <v>50565</v>
      </c>
      <c r="C46" s="8">
        <v>176</v>
      </c>
      <c r="D46" s="7" t="s">
        <v>7</v>
      </c>
    </row>
    <row r="47" spans="1:4" ht="14.95" thickBot="1" x14ac:dyDescent="0.35">
      <c r="A47" s="8">
        <v>1108</v>
      </c>
      <c r="B47" s="8">
        <v>8864</v>
      </c>
      <c r="C47" s="8">
        <v>97</v>
      </c>
      <c r="D47" s="7" t="s">
        <v>19</v>
      </c>
    </row>
    <row r="48" spans="1:4" ht="14.95" thickBot="1" x14ac:dyDescent="0.35">
      <c r="A48" s="8">
        <v>2704</v>
      </c>
      <c r="B48" s="8">
        <v>21632</v>
      </c>
      <c r="C48" s="8">
        <v>127</v>
      </c>
      <c r="D48" s="7"/>
    </row>
    <row r="49" spans="1:4" ht="14.95" thickBot="1" x14ac:dyDescent="0.35">
      <c r="A49" s="8">
        <v>1950</v>
      </c>
      <c r="B49" s="8">
        <v>37050</v>
      </c>
      <c r="C49" s="8">
        <v>119</v>
      </c>
      <c r="D49" s="7"/>
    </row>
    <row r="50" spans="1:4" ht="14.95" thickBot="1" x14ac:dyDescent="0.35">
      <c r="A50" s="8">
        <v>2164</v>
      </c>
      <c r="B50" s="8">
        <v>28132</v>
      </c>
      <c r="C50" s="8">
        <v>177</v>
      </c>
      <c r="D50" s="7" t="s">
        <v>19</v>
      </c>
    </row>
    <row r="51" spans="1:4" ht="14.95" thickBot="1" x14ac:dyDescent="0.35">
      <c r="A51" s="8">
        <v>2754</v>
      </c>
      <c r="B51" s="8">
        <v>22032</v>
      </c>
      <c r="C51" s="8">
        <v>112</v>
      </c>
      <c r="D51" s="7" t="s">
        <v>15</v>
      </c>
    </row>
    <row r="52" spans="1:4" ht="14.95" thickBot="1" x14ac:dyDescent="0.35">
      <c r="A52" s="8">
        <v>2200</v>
      </c>
      <c r="B52" s="8">
        <v>37400</v>
      </c>
      <c r="C52" s="8">
        <v>225</v>
      </c>
      <c r="D52" s="7" t="s">
        <v>11</v>
      </c>
    </row>
    <row r="53" spans="1:4" ht="14.95" thickBot="1" x14ac:dyDescent="0.35">
      <c r="A53" s="8">
        <v>947</v>
      </c>
      <c r="B53" s="8">
        <v>10417</v>
      </c>
      <c r="C53" s="8">
        <v>34</v>
      </c>
      <c r="D53" s="7" t="s">
        <v>19</v>
      </c>
    </row>
    <row r="54" spans="1:4" ht="14.95" thickBot="1" x14ac:dyDescent="0.35">
      <c r="A54" s="8">
        <v>804</v>
      </c>
      <c r="B54" s="8">
        <v>4020</v>
      </c>
      <c r="C54" s="8">
        <v>11</v>
      </c>
      <c r="D54" s="7"/>
    </row>
    <row r="55" spans="1:4" ht="14.95" thickBot="1" x14ac:dyDescent="0.35">
      <c r="A55" s="8">
        <v>1686</v>
      </c>
      <c r="B55" s="8">
        <v>18546</v>
      </c>
      <c r="C55" s="8">
        <v>52</v>
      </c>
      <c r="D55" s="7" t="s">
        <v>11</v>
      </c>
    </row>
    <row r="56" spans="1:4" ht="14.95" thickBot="1" x14ac:dyDescent="0.35">
      <c r="A56" s="8">
        <v>1226</v>
      </c>
      <c r="B56" s="8">
        <v>14712</v>
      </c>
      <c r="C56" s="8">
        <v>123</v>
      </c>
      <c r="D56" s="7" t="s">
        <v>19</v>
      </c>
    </row>
    <row r="57" spans="1:4" ht="14.95" thickBot="1" x14ac:dyDescent="0.35">
      <c r="A57" s="8">
        <v>2946</v>
      </c>
      <c r="B57" s="8">
        <v>29460</v>
      </c>
      <c r="C57" s="8">
        <v>60</v>
      </c>
      <c r="D57" s="7" t="s">
        <v>15</v>
      </c>
    </row>
    <row r="58" spans="1:4" ht="14.95" thickBot="1" x14ac:dyDescent="0.35">
      <c r="A58" s="8">
        <v>2825</v>
      </c>
      <c r="B58" s="8">
        <v>45200</v>
      </c>
      <c r="C58" s="8">
        <v>169</v>
      </c>
      <c r="D58" s="7" t="s">
        <v>7</v>
      </c>
    </row>
    <row r="59" spans="1:4" ht="14.95" thickBot="1" x14ac:dyDescent="0.35">
      <c r="A59" s="8">
        <v>103</v>
      </c>
      <c r="B59" s="8">
        <v>1030</v>
      </c>
      <c r="C59" s="8">
        <v>262</v>
      </c>
      <c r="D59" s="7" t="s">
        <v>19</v>
      </c>
    </row>
    <row r="60" spans="1:4" ht="14.95" thickBot="1" x14ac:dyDescent="0.35">
      <c r="A60" s="8">
        <v>2180</v>
      </c>
      <c r="B60" s="8">
        <v>30520</v>
      </c>
      <c r="C60" s="8">
        <v>174</v>
      </c>
      <c r="D60" s="7"/>
    </row>
    <row r="61" spans="1:4" ht="14.95" thickBot="1" x14ac:dyDescent="0.35">
      <c r="A61" s="8">
        <v>904</v>
      </c>
      <c r="B61" s="8">
        <v>11752</v>
      </c>
      <c r="C61" s="8">
        <v>84</v>
      </c>
      <c r="D61" s="7" t="s">
        <v>15</v>
      </c>
    </row>
    <row r="62" spans="1:4" ht="14.95" thickBot="1" x14ac:dyDescent="0.35">
      <c r="A62" s="8">
        <v>4886</v>
      </c>
      <c r="B62" s="8">
        <v>43974</v>
      </c>
      <c r="C62" s="8">
        <v>65</v>
      </c>
      <c r="D62" s="7" t="s">
        <v>7</v>
      </c>
    </row>
    <row r="63" spans="1:4" ht="14.95" thickBot="1" x14ac:dyDescent="0.35">
      <c r="A63" s="8">
        <v>53</v>
      </c>
      <c r="B63" s="8">
        <v>954</v>
      </c>
      <c r="C63" s="8">
        <v>148</v>
      </c>
      <c r="D63" s="7" t="s">
        <v>15</v>
      </c>
    </row>
    <row r="64" spans="1:4" ht="14.95" thickBot="1" x14ac:dyDescent="0.35">
      <c r="A64" s="8">
        <v>4507</v>
      </c>
      <c r="B64" s="8">
        <v>90140</v>
      </c>
      <c r="C64" s="8">
        <v>125</v>
      </c>
      <c r="D64" s="7" t="s">
        <v>15</v>
      </c>
    </row>
    <row r="65" spans="1:4" ht="14.95" thickBot="1" x14ac:dyDescent="0.35">
      <c r="A65" s="8">
        <v>2878</v>
      </c>
      <c r="B65" s="8">
        <v>43170</v>
      </c>
      <c r="C65" s="8">
        <v>75</v>
      </c>
      <c r="D65" s="7" t="s">
        <v>15</v>
      </c>
    </row>
    <row r="66" spans="1:4" ht="14.95" thickBot="1" x14ac:dyDescent="0.35">
      <c r="A66" s="8">
        <v>1881</v>
      </c>
      <c r="B66" s="8">
        <v>20691</v>
      </c>
      <c r="C66" s="8">
        <v>289</v>
      </c>
      <c r="D66" s="7"/>
    </row>
    <row r="67" spans="1:4" ht="14.95" thickBot="1" x14ac:dyDescent="0.35">
      <c r="A67" s="8">
        <v>432</v>
      </c>
      <c r="B67" s="8">
        <v>3024</v>
      </c>
      <c r="C67" s="8">
        <v>184</v>
      </c>
      <c r="D67" s="7" t="s">
        <v>7</v>
      </c>
    </row>
    <row r="68" spans="1:4" ht="14.95" thickBot="1" x14ac:dyDescent="0.35">
      <c r="A68" s="8">
        <v>4712</v>
      </c>
      <c r="B68" s="8">
        <v>84816</v>
      </c>
      <c r="C68" s="8">
        <v>100</v>
      </c>
      <c r="D68" s="7" t="s">
        <v>15</v>
      </c>
    </row>
    <row r="69" spans="1:4" ht="14.95" thickBot="1" x14ac:dyDescent="0.35">
      <c r="A69" s="8">
        <v>2610</v>
      </c>
      <c r="B69" s="8">
        <v>15660</v>
      </c>
      <c r="C69" s="8">
        <v>73</v>
      </c>
      <c r="D69" s="7"/>
    </row>
    <row r="70" spans="1:4" ht="14.95" thickBot="1" x14ac:dyDescent="0.35">
      <c r="A70" s="8">
        <v>1292</v>
      </c>
      <c r="B70" s="8">
        <v>25840</v>
      </c>
      <c r="C70" s="8">
        <v>149</v>
      </c>
      <c r="D70" s="7" t="s">
        <v>15</v>
      </c>
    </row>
    <row r="71" spans="1:4" ht="14.95" thickBot="1" x14ac:dyDescent="0.35">
      <c r="A71" s="8">
        <v>199</v>
      </c>
      <c r="B71" s="8">
        <v>3582</v>
      </c>
      <c r="C71" s="8">
        <v>43</v>
      </c>
      <c r="D71" s="7"/>
    </row>
    <row r="72" spans="1:4" ht="14.95" thickBot="1" x14ac:dyDescent="0.35">
      <c r="A72" s="8">
        <v>2551</v>
      </c>
      <c r="B72" s="8">
        <v>30612</v>
      </c>
      <c r="C72" s="8">
        <v>227</v>
      </c>
      <c r="D72" s="7" t="s">
        <v>11</v>
      </c>
    </row>
    <row r="73" spans="1:4" ht="14.95" thickBot="1" x14ac:dyDescent="0.35">
      <c r="A73" s="8">
        <v>296</v>
      </c>
      <c r="B73" s="8">
        <v>5624</v>
      </c>
      <c r="C73" s="8">
        <v>88</v>
      </c>
      <c r="D73" s="7" t="s">
        <v>11</v>
      </c>
    </row>
    <row r="74" spans="1:4" ht="14.95" thickBot="1" x14ac:dyDescent="0.35">
      <c r="A74" s="8">
        <v>4126</v>
      </c>
      <c r="B74" s="8">
        <v>78394</v>
      </c>
      <c r="C74" s="8">
        <v>88</v>
      </c>
      <c r="D74" s="7" t="s">
        <v>19</v>
      </c>
    </row>
    <row r="75" spans="1:4" ht="14.95" thickBot="1" x14ac:dyDescent="0.35">
      <c r="A75" s="8">
        <v>1855</v>
      </c>
      <c r="B75" s="8">
        <v>16695</v>
      </c>
      <c r="C75" s="8">
        <v>123</v>
      </c>
      <c r="D75" s="7" t="s">
        <v>15</v>
      </c>
    </row>
    <row r="76" spans="1:4" ht="14.95" thickBot="1" x14ac:dyDescent="0.35">
      <c r="A76" s="8">
        <v>1674</v>
      </c>
      <c r="B76" s="8">
        <v>21762</v>
      </c>
      <c r="C76" s="8">
        <v>255</v>
      </c>
      <c r="D76" s="7" t="s">
        <v>19</v>
      </c>
    </row>
    <row r="77" spans="1:4" ht="14.95" thickBot="1" x14ac:dyDescent="0.35">
      <c r="A77" s="8">
        <v>1121</v>
      </c>
      <c r="B77" s="8">
        <v>15694</v>
      </c>
      <c r="C77" s="8">
        <v>99</v>
      </c>
      <c r="D77" s="7" t="s">
        <v>19</v>
      </c>
    </row>
    <row r="78" spans="1:4" ht="14.95" thickBot="1" x14ac:dyDescent="0.35">
      <c r="A78" s="8">
        <v>1249</v>
      </c>
      <c r="B78" s="8">
        <v>8743</v>
      </c>
      <c r="C78" s="8">
        <v>63</v>
      </c>
      <c r="D78" s="7"/>
    </row>
    <row r="79" spans="1:4" ht="14.95" thickBot="1" x14ac:dyDescent="0.35">
      <c r="A79" s="8">
        <v>954</v>
      </c>
      <c r="B79" s="8">
        <v>19080</v>
      </c>
      <c r="C79" s="8">
        <v>21</v>
      </c>
      <c r="D79" s="7" t="s">
        <v>19</v>
      </c>
    </row>
    <row r="80" spans="1:4" ht="14.95" thickBot="1" x14ac:dyDescent="0.35">
      <c r="A80" s="8">
        <v>3068</v>
      </c>
      <c r="B80" s="8">
        <v>39884</v>
      </c>
      <c r="C80" s="8">
        <v>266</v>
      </c>
      <c r="D80" s="7" t="s">
        <v>11</v>
      </c>
    </row>
    <row r="81" spans="1:4" ht="14.95" thickBot="1" x14ac:dyDescent="0.35">
      <c r="A81" s="8">
        <v>2103</v>
      </c>
      <c r="B81" s="8">
        <v>39957</v>
      </c>
      <c r="C81" s="8">
        <v>28</v>
      </c>
      <c r="D81" s="7"/>
    </row>
    <row r="82" spans="1:4" ht="14.95" thickBot="1" x14ac:dyDescent="0.35">
      <c r="A82" s="8">
        <v>1816</v>
      </c>
      <c r="B82" s="8">
        <v>19976</v>
      </c>
      <c r="C82" s="8">
        <v>283</v>
      </c>
      <c r="D82" s="7" t="s">
        <v>15</v>
      </c>
    </row>
    <row r="83" spans="1:4" ht="14.95" thickBot="1" x14ac:dyDescent="0.35">
      <c r="A83" s="8">
        <v>725</v>
      </c>
      <c r="B83" s="8">
        <v>14500</v>
      </c>
      <c r="C83" s="8">
        <v>200</v>
      </c>
      <c r="D83" s="7" t="s">
        <v>15</v>
      </c>
    </row>
    <row r="84" spans="1:4" ht="14.95" thickBot="1" x14ac:dyDescent="0.35">
      <c r="A84" s="8">
        <v>1094</v>
      </c>
      <c r="B84" s="8">
        <v>9846</v>
      </c>
      <c r="C84" s="8">
        <v>112</v>
      </c>
      <c r="D84" s="7"/>
    </row>
    <row r="85" spans="1:4" ht="14.95" thickBot="1" x14ac:dyDescent="0.35">
      <c r="A85" s="8">
        <v>1841</v>
      </c>
      <c r="B85" s="8">
        <v>34979</v>
      </c>
      <c r="C85" s="8">
        <v>255</v>
      </c>
      <c r="D85" s="7" t="s">
        <v>19</v>
      </c>
    </row>
    <row r="86" spans="1:4" ht="14.95" thickBot="1" x14ac:dyDescent="0.35">
      <c r="A86" s="8">
        <v>4177</v>
      </c>
      <c r="B86" s="8">
        <v>25062</v>
      </c>
      <c r="C86" s="8">
        <v>230</v>
      </c>
      <c r="D86" s="7" t="s">
        <v>7</v>
      </c>
    </row>
    <row r="87" spans="1:4" ht="14.95" thickBot="1" x14ac:dyDescent="0.35">
      <c r="A87" s="8">
        <v>3428</v>
      </c>
      <c r="B87" s="8">
        <v>58276</v>
      </c>
      <c r="C87" s="8">
        <v>242</v>
      </c>
      <c r="D87" s="7" t="s">
        <v>19</v>
      </c>
    </row>
    <row r="88" spans="1:4" ht="14.95" thickBot="1" x14ac:dyDescent="0.35">
      <c r="A88" s="8">
        <v>1436</v>
      </c>
      <c r="B88" s="8">
        <v>12924</v>
      </c>
      <c r="C88" s="8">
        <v>197</v>
      </c>
      <c r="D88" s="7" t="s">
        <v>15</v>
      </c>
    </row>
    <row r="89" spans="1:4" ht="14.95" thickBot="1" x14ac:dyDescent="0.35">
      <c r="A89" s="8">
        <v>302</v>
      </c>
      <c r="B89" s="8">
        <v>5738</v>
      </c>
      <c r="C89" s="8">
        <v>25</v>
      </c>
      <c r="D89" s="7" t="s">
        <v>19</v>
      </c>
    </row>
    <row r="90" spans="1:4" ht="14.95" thickBot="1" x14ac:dyDescent="0.35">
      <c r="A90" s="8">
        <v>2214</v>
      </c>
      <c r="B90" s="8">
        <v>15498</v>
      </c>
      <c r="C90" s="8">
        <v>180</v>
      </c>
      <c r="D90" s="7"/>
    </row>
    <row r="91" spans="1:4" ht="14.95" thickBot="1" x14ac:dyDescent="0.35">
      <c r="A91" s="8">
        <v>3861</v>
      </c>
      <c r="B91" s="8">
        <v>69498</v>
      </c>
      <c r="C91" s="8">
        <v>297</v>
      </c>
      <c r="D91" s="7" t="s">
        <v>19</v>
      </c>
    </row>
    <row r="92" spans="1:4" ht="14.95" thickBot="1" x14ac:dyDescent="0.35">
      <c r="A92" s="8">
        <v>1263</v>
      </c>
      <c r="B92" s="8">
        <v>25260</v>
      </c>
      <c r="C92" s="8">
        <v>137</v>
      </c>
      <c r="D92" s="7" t="s">
        <v>19</v>
      </c>
    </row>
    <row r="93" spans="1:4" ht="14.95" thickBot="1" x14ac:dyDescent="0.35">
      <c r="A93" s="8">
        <v>3801</v>
      </c>
      <c r="B93" s="8">
        <v>38010</v>
      </c>
      <c r="C93" s="8">
        <v>236</v>
      </c>
      <c r="D93" s="7" t="s">
        <v>15</v>
      </c>
    </row>
    <row r="94" spans="1:4" ht="14.95" thickBot="1" x14ac:dyDescent="0.35">
      <c r="A94" s="8">
        <v>1431</v>
      </c>
      <c r="B94" s="8">
        <v>8586</v>
      </c>
      <c r="C94" s="8">
        <v>150</v>
      </c>
      <c r="D94" s="7" t="s">
        <v>15</v>
      </c>
    </row>
    <row r="95" spans="1:4" ht="14.95" thickBot="1" x14ac:dyDescent="0.35">
      <c r="A95" s="8">
        <v>2647</v>
      </c>
      <c r="B95" s="8">
        <v>18529</v>
      </c>
      <c r="C95" s="8">
        <v>46</v>
      </c>
      <c r="D95" s="7" t="s">
        <v>15</v>
      </c>
    </row>
    <row r="96" spans="1:4" ht="14.95" thickBot="1" x14ac:dyDescent="0.35">
      <c r="A96" s="8">
        <v>3182</v>
      </c>
      <c r="B96" s="8">
        <v>57276</v>
      </c>
      <c r="C96" s="8">
        <v>163</v>
      </c>
      <c r="D96" s="7" t="s">
        <v>19</v>
      </c>
    </row>
    <row r="97" spans="1:4" ht="14.95" thickBot="1" x14ac:dyDescent="0.35">
      <c r="A97" s="8">
        <v>1238</v>
      </c>
      <c r="B97" s="8">
        <v>19808</v>
      </c>
      <c r="C97" s="8">
        <v>123</v>
      </c>
      <c r="D97" s="7"/>
    </row>
    <row r="98" spans="1:4" ht="14.95" thickBot="1" x14ac:dyDescent="0.35">
      <c r="A98" s="8">
        <v>4739</v>
      </c>
      <c r="B98" s="8">
        <v>61607</v>
      </c>
      <c r="C98" s="8">
        <v>36</v>
      </c>
      <c r="D98" s="7" t="s">
        <v>11</v>
      </c>
    </row>
    <row r="99" spans="1:4" ht="14.95" thickBot="1" x14ac:dyDescent="0.35">
      <c r="A99" s="8">
        <v>1575</v>
      </c>
      <c r="B99" s="8">
        <v>25200</v>
      </c>
      <c r="C99" s="8">
        <v>17</v>
      </c>
      <c r="D99" s="7" t="s">
        <v>19</v>
      </c>
    </row>
    <row r="100" spans="1:4" ht="14.95" thickBot="1" x14ac:dyDescent="0.35">
      <c r="A100" s="8">
        <v>4171</v>
      </c>
      <c r="B100" s="8">
        <v>66736</v>
      </c>
      <c r="C100" s="8">
        <v>173</v>
      </c>
      <c r="D100" s="7" t="s">
        <v>15</v>
      </c>
    </row>
    <row r="101" spans="1:4" ht="14.95" thickBot="1" x14ac:dyDescent="0.35">
      <c r="A101" s="8">
        <v>1766</v>
      </c>
      <c r="B101" s="8">
        <v>24724</v>
      </c>
      <c r="C101" s="8">
        <v>52</v>
      </c>
      <c r="D101" s="7"/>
    </row>
    <row r="102" spans="1:4" ht="14.95" thickBot="1" x14ac:dyDescent="0.35">
      <c r="A102" s="8">
        <v>4450</v>
      </c>
      <c r="B102" s="8">
        <v>75650</v>
      </c>
      <c r="C102" s="8">
        <v>12</v>
      </c>
      <c r="D102" s="7" t="s">
        <v>15</v>
      </c>
    </row>
    <row r="103" spans="1:4" ht="14.95" thickBot="1" x14ac:dyDescent="0.35">
      <c r="A103" s="8">
        <v>1000</v>
      </c>
      <c r="B103" s="8">
        <v>6000</v>
      </c>
      <c r="C103" s="8">
        <v>223</v>
      </c>
      <c r="D103" s="7" t="s">
        <v>11</v>
      </c>
    </row>
    <row r="104" spans="1:4" ht="14.95" thickBot="1" x14ac:dyDescent="0.35">
      <c r="A104" s="8">
        <v>3689</v>
      </c>
      <c r="B104" s="8">
        <v>40579</v>
      </c>
      <c r="C104" s="8">
        <v>212</v>
      </c>
      <c r="D104" s="7" t="s">
        <v>11</v>
      </c>
    </row>
    <row r="105" spans="1:4" ht="14.95" thickBot="1" x14ac:dyDescent="0.35">
      <c r="A105" s="8">
        <v>3655</v>
      </c>
      <c r="B105" s="8">
        <v>32895</v>
      </c>
      <c r="C105" s="8">
        <v>199</v>
      </c>
      <c r="D105" s="7" t="s">
        <v>15</v>
      </c>
    </row>
    <row r="106" spans="1:4" ht="14.95" thickBot="1" x14ac:dyDescent="0.35">
      <c r="A106" s="8">
        <v>498</v>
      </c>
      <c r="B106" s="8">
        <v>4482</v>
      </c>
      <c r="C106" s="8">
        <v>32</v>
      </c>
      <c r="D106" s="7" t="s">
        <v>7</v>
      </c>
    </row>
    <row r="107" spans="1:4" ht="14.95" thickBot="1" x14ac:dyDescent="0.35">
      <c r="A107" s="8">
        <v>4619</v>
      </c>
      <c r="B107" s="8">
        <v>69285</v>
      </c>
      <c r="C107" s="8">
        <v>298</v>
      </c>
      <c r="D107" s="7" t="s">
        <v>19</v>
      </c>
    </row>
    <row r="108" spans="1:4" ht="14.95" thickBot="1" x14ac:dyDescent="0.35">
      <c r="A108" s="8">
        <v>4832</v>
      </c>
      <c r="B108" s="8">
        <v>91808</v>
      </c>
      <c r="C108" s="8">
        <v>182</v>
      </c>
      <c r="D108" s="7"/>
    </row>
    <row r="109" spans="1:4" ht="14.95" thickBot="1" x14ac:dyDescent="0.35">
      <c r="A109" s="8">
        <v>4050</v>
      </c>
      <c r="B109" s="8">
        <v>52650</v>
      </c>
      <c r="C109" s="8">
        <v>209</v>
      </c>
      <c r="D109" s="7" t="s">
        <v>11</v>
      </c>
    </row>
    <row r="110" spans="1:4" ht="14.95" thickBot="1" x14ac:dyDescent="0.35">
      <c r="A110" s="8">
        <v>3649</v>
      </c>
      <c r="B110" s="8">
        <v>25543</v>
      </c>
      <c r="C110" s="8">
        <v>167</v>
      </c>
      <c r="D110" s="7" t="s">
        <v>15</v>
      </c>
    </row>
    <row r="111" spans="1:4" ht="14.95" thickBot="1" x14ac:dyDescent="0.35">
      <c r="A111" s="8">
        <v>3523</v>
      </c>
      <c r="B111" s="8">
        <v>38753</v>
      </c>
      <c r="C111" s="8">
        <v>270</v>
      </c>
      <c r="D111" s="7" t="s">
        <v>11</v>
      </c>
    </row>
    <row r="112" spans="1:4" ht="14.95" thickBot="1" x14ac:dyDescent="0.35">
      <c r="A112" s="8">
        <v>2719</v>
      </c>
      <c r="B112" s="8">
        <v>40785</v>
      </c>
      <c r="C112" s="8">
        <v>40</v>
      </c>
      <c r="D112" s="7" t="s">
        <v>11</v>
      </c>
    </row>
    <row r="113" spans="1:4" ht="14.95" thickBot="1" x14ac:dyDescent="0.35">
      <c r="A113" s="8">
        <v>1957</v>
      </c>
      <c r="B113" s="8">
        <v>17613</v>
      </c>
      <c r="C113" s="8">
        <v>297</v>
      </c>
      <c r="D113" s="7" t="s">
        <v>15</v>
      </c>
    </row>
    <row r="114" spans="1:4" ht="14.95" thickBot="1" x14ac:dyDescent="0.35">
      <c r="A114" s="8">
        <v>4419</v>
      </c>
      <c r="B114" s="8">
        <v>44190</v>
      </c>
      <c r="C114" s="8">
        <v>10</v>
      </c>
      <c r="D114" s="7" t="s">
        <v>7</v>
      </c>
    </row>
    <row r="115" spans="1:4" ht="14.95" thickBot="1" x14ac:dyDescent="0.35">
      <c r="A115" s="8">
        <v>4000</v>
      </c>
      <c r="B115" s="8">
        <v>40000</v>
      </c>
      <c r="C115" s="8">
        <v>44</v>
      </c>
      <c r="D115" s="7" t="s">
        <v>7</v>
      </c>
    </row>
    <row r="116" spans="1:4" ht="14.95" thickBot="1" x14ac:dyDescent="0.35">
      <c r="A116" s="8">
        <v>2493</v>
      </c>
      <c r="B116" s="8">
        <v>42381</v>
      </c>
      <c r="C116" s="8">
        <v>242</v>
      </c>
      <c r="D116" s="7" t="s">
        <v>19</v>
      </c>
    </row>
    <row r="117" spans="1:4" ht="14.95" thickBot="1" x14ac:dyDescent="0.35">
      <c r="A117" s="8">
        <v>3704</v>
      </c>
      <c r="B117" s="8">
        <v>25928</v>
      </c>
      <c r="C117" s="8">
        <v>131</v>
      </c>
      <c r="D117" s="7"/>
    </row>
    <row r="118" spans="1:4" ht="14.95" thickBot="1" x14ac:dyDescent="0.35">
      <c r="A118" s="8">
        <v>1606</v>
      </c>
      <c r="B118" s="8">
        <v>20878</v>
      </c>
      <c r="C118" s="8">
        <v>219</v>
      </c>
      <c r="D118" s="7" t="s">
        <v>19</v>
      </c>
    </row>
    <row r="119" spans="1:4" ht="14.95" thickBot="1" x14ac:dyDescent="0.35">
      <c r="A119" s="8">
        <v>4551</v>
      </c>
      <c r="B119" s="8">
        <v>68265</v>
      </c>
      <c r="C119" s="8">
        <v>57</v>
      </c>
      <c r="D119" s="7" t="s">
        <v>15</v>
      </c>
    </row>
    <row r="120" spans="1:4" ht="14.95" thickBot="1" x14ac:dyDescent="0.35">
      <c r="A120" s="8">
        <v>1970</v>
      </c>
      <c r="B120" s="8">
        <v>9850</v>
      </c>
      <c r="C120" s="8">
        <v>117</v>
      </c>
      <c r="D120" s="7"/>
    </row>
    <row r="121" spans="1:4" ht="14.95" thickBot="1" x14ac:dyDescent="0.35">
      <c r="A121" s="8">
        <v>780</v>
      </c>
      <c r="B121" s="8">
        <v>8580</v>
      </c>
      <c r="C121" s="8">
        <v>91</v>
      </c>
      <c r="D121" s="7" t="s">
        <v>15</v>
      </c>
    </row>
    <row r="122" spans="1:4" ht="14.95" thickBot="1" x14ac:dyDescent="0.35">
      <c r="A122" s="8">
        <v>498</v>
      </c>
      <c r="B122" s="8">
        <v>4980</v>
      </c>
      <c r="C122" s="8">
        <v>185</v>
      </c>
      <c r="D122" s="7"/>
    </row>
    <row r="123" spans="1:4" ht="14.95" thickBot="1" x14ac:dyDescent="0.35">
      <c r="A123" s="8">
        <v>3432</v>
      </c>
      <c r="B123" s="8">
        <v>54912</v>
      </c>
      <c r="C123" s="8">
        <v>264</v>
      </c>
      <c r="D123" s="7" t="s">
        <v>11</v>
      </c>
    </row>
    <row r="124" spans="1:4" ht="14.95" thickBot="1" x14ac:dyDescent="0.35">
      <c r="A124" s="8">
        <v>4363</v>
      </c>
      <c r="B124" s="8">
        <v>21815</v>
      </c>
      <c r="C124" s="8">
        <v>157</v>
      </c>
      <c r="D124" s="7" t="s">
        <v>7</v>
      </c>
    </row>
    <row r="125" spans="1:4" ht="14.95" thickBot="1" x14ac:dyDescent="0.35">
      <c r="A125" s="8">
        <v>736</v>
      </c>
      <c r="B125" s="8">
        <v>5152</v>
      </c>
      <c r="C125" s="8">
        <v>19</v>
      </c>
      <c r="D125" s="7" t="s">
        <v>7</v>
      </c>
    </row>
    <row r="126" spans="1:4" ht="14.95" thickBot="1" x14ac:dyDescent="0.35">
      <c r="A126" s="8">
        <v>3811</v>
      </c>
      <c r="B126" s="8">
        <v>34299</v>
      </c>
      <c r="C126" s="8">
        <v>233</v>
      </c>
      <c r="D126" s="7" t="s">
        <v>19</v>
      </c>
    </row>
    <row r="127" spans="1:4" ht="14.95" thickBot="1" x14ac:dyDescent="0.35">
      <c r="A127" s="8">
        <v>4158</v>
      </c>
      <c r="B127" s="8">
        <v>45738</v>
      </c>
      <c r="C127" s="8">
        <v>142</v>
      </c>
      <c r="D127" s="7"/>
    </row>
    <row r="128" spans="1:4" ht="14.95" thickBot="1" x14ac:dyDescent="0.35">
      <c r="A128" s="8">
        <v>3452</v>
      </c>
      <c r="B128" s="8">
        <v>65588</v>
      </c>
      <c r="C128" s="8">
        <v>158</v>
      </c>
      <c r="D128" s="7" t="s">
        <v>15</v>
      </c>
    </row>
    <row r="129" spans="1:4" ht="14.95" thickBot="1" x14ac:dyDescent="0.35">
      <c r="A129" s="8">
        <v>3092</v>
      </c>
      <c r="B129" s="8">
        <v>27828</v>
      </c>
      <c r="C129" s="8">
        <v>102</v>
      </c>
      <c r="D129" s="7"/>
    </row>
    <row r="130" spans="1:4" ht="14.95" thickBot="1" x14ac:dyDescent="0.35">
      <c r="A130" s="8">
        <v>2147</v>
      </c>
      <c r="B130" s="8">
        <v>17176</v>
      </c>
      <c r="C130" s="8">
        <v>170</v>
      </c>
      <c r="D130" s="7"/>
    </row>
    <row r="131" spans="1:4" ht="14.95" thickBot="1" x14ac:dyDescent="0.35">
      <c r="A131" s="8">
        <v>2936</v>
      </c>
      <c r="B131" s="8">
        <v>38168</v>
      </c>
      <c r="C131" s="8">
        <v>22</v>
      </c>
      <c r="D131" s="7" t="s">
        <v>19</v>
      </c>
    </row>
    <row r="132" spans="1:4" ht="14.95" thickBot="1" x14ac:dyDescent="0.35">
      <c r="A132" s="8">
        <v>4840</v>
      </c>
      <c r="B132" s="8">
        <v>43560</v>
      </c>
      <c r="C132" s="8">
        <v>57</v>
      </c>
      <c r="D132" s="7" t="s">
        <v>15</v>
      </c>
    </row>
    <row r="133" spans="1:4" ht="14.95" thickBot="1" x14ac:dyDescent="0.35">
      <c r="A133" s="8">
        <v>1947</v>
      </c>
      <c r="B133" s="8">
        <v>21417</v>
      </c>
      <c r="C133" s="8">
        <v>186</v>
      </c>
      <c r="D133" s="7" t="s">
        <v>11</v>
      </c>
    </row>
    <row r="134" spans="1:4" ht="14.95" thickBot="1" x14ac:dyDescent="0.35">
      <c r="A134" s="8">
        <v>2072</v>
      </c>
      <c r="B134" s="8">
        <v>37296</v>
      </c>
      <c r="C134" s="8">
        <v>25</v>
      </c>
      <c r="D134" s="7" t="s">
        <v>19</v>
      </c>
    </row>
    <row r="135" spans="1:4" ht="14.95" thickBot="1" x14ac:dyDescent="0.35">
      <c r="A135" s="8">
        <v>3731</v>
      </c>
      <c r="B135" s="8">
        <v>55965</v>
      </c>
      <c r="C135" s="8">
        <v>103</v>
      </c>
      <c r="D135" s="7" t="s">
        <v>7</v>
      </c>
    </row>
    <row r="136" spans="1:4" ht="14.95" thickBot="1" x14ac:dyDescent="0.35">
      <c r="A136" s="8">
        <v>4213</v>
      </c>
      <c r="B136" s="8">
        <v>75834</v>
      </c>
      <c r="C136" s="8">
        <v>272</v>
      </c>
      <c r="D136" s="7" t="s">
        <v>19</v>
      </c>
    </row>
    <row r="137" spans="1:4" ht="14.95" thickBot="1" x14ac:dyDescent="0.35">
      <c r="A137" s="8">
        <v>3134</v>
      </c>
      <c r="B137" s="8">
        <v>21938</v>
      </c>
      <c r="C137" s="8">
        <v>130</v>
      </c>
      <c r="D137" s="7" t="s">
        <v>19</v>
      </c>
    </row>
    <row r="138" spans="1:4" ht="14.95" thickBot="1" x14ac:dyDescent="0.35">
      <c r="A138" s="8">
        <v>3008</v>
      </c>
      <c r="B138" s="8">
        <v>15040</v>
      </c>
      <c r="C138" s="8">
        <v>277</v>
      </c>
      <c r="D138" s="7"/>
    </row>
    <row r="139" spans="1:4" ht="14.95" thickBot="1" x14ac:dyDescent="0.35">
      <c r="A139" s="8">
        <v>305</v>
      </c>
      <c r="B139" s="8">
        <v>4575</v>
      </c>
      <c r="C139" s="8">
        <v>234</v>
      </c>
      <c r="D139" s="7" t="s">
        <v>15</v>
      </c>
    </row>
    <row r="140" spans="1:4" ht="14.95" thickBot="1" x14ac:dyDescent="0.35">
      <c r="A140" s="8">
        <v>2746</v>
      </c>
      <c r="B140" s="8">
        <v>32952</v>
      </c>
      <c r="C140" s="8">
        <v>147</v>
      </c>
      <c r="D140" s="7" t="s">
        <v>7</v>
      </c>
    </row>
    <row r="141" spans="1:4" ht="14.95" thickBot="1" x14ac:dyDescent="0.35">
      <c r="A141" s="8">
        <v>2291</v>
      </c>
      <c r="B141" s="8">
        <v>18328</v>
      </c>
      <c r="C141" s="8">
        <v>10</v>
      </c>
      <c r="D141" s="7" t="s">
        <v>11</v>
      </c>
    </row>
    <row r="142" spans="1:4" ht="14.95" thickBot="1" x14ac:dyDescent="0.35">
      <c r="A142" s="8">
        <v>3170</v>
      </c>
      <c r="B142" s="8">
        <v>19020</v>
      </c>
      <c r="C142" s="8">
        <v>240</v>
      </c>
      <c r="D142" s="7"/>
    </row>
    <row r="143" spans="1:4" ht="14.95" thickBot="1" x14ac:dyDescent="0.35">
      <c r="A143" s="8">
        <v>2070</v>
      </c>
      <c r="B143" s="8">
        <v>39330</v>
      </c>
      <c r="C143" s="8">
        <v>114</v>
      </c>
      <c r="D143" s="7" t="s">
        <v>19</v>
      </c>
    </row>
    <row r="144" spans="1:4" ht="14.95" thickBot="1" x14ac:dyDescent="0.35">
      <c r="A144" s="8">
        <v>80</v>
      </c>
      <c r="B144" s="8">
        <v>1040</v>
      </c>
      <c r="C144" s="8">
        <v>117</v>
      </c>
      <c r="D144" s="7" t="s">
        <v>15</v>
      </c>
    </row>
    <row r="145" spans="1:4" ht="14.95" thickBot="1" x14ac:dyDescent="0.35">
      <c r="A145" s="8">
        <v>4929</v>
      </c>
      <c r="B145" s="8">
        <v>93651</v>
      </c>
      <c r="C145" s="8">
        <v>66</v>
      </c>
      <c r="D145" s="7" t="s">
        <v>19</v>
      </c>
    </row>
    <row r="146" spans="1:4" ht="14.95" thickBot="1" x14ac:dyDescent="0.35">
      <c r="A146" s="8">
        <v>1878</v>
      </c>
      <c r="B146" s="8">
        <v>37560</v>
      </c>
      <c r="C146" s="8">
        <v>142</v>
      </c>
      <c r="D146" s="7" t="s">
        <v>19</v>
      </c>
    </row>
    <row r="147" spans="1:4" ht="14.95" thickBot="1" x14ac:dyDescent="0.35">
      <c r="A147" s="8">
        <v>3065</v>
      </c>
      <c r="B147" s="8">
        <v>18390</v>
      </c>
      <c r="C147" s="8">
        <v>200</v>
      </c>
      <c r="D147" s="7"/>
    </row>
    <row r="148" spans="1:4" ht="14.95" thickBot="1" x14ac:dyDescent="0.35">
      <c r="A148" s="8">
        <v>3256</v>
      </c>
      <c r="B148" s="8">
        <v>26048</v>
      </c>
      <c r="C148" s="8">
        <v>143</v>
      </c>
      <c r="D148" s="7" t="s">
        <v>11</v>
      </c>
    </row>
    <row r="149" spans="1:4" ht="14.95" thickBot="1" x14ac:dyDescent="0.35">
      <c r="A149" s="8">
        <v>4133</v>
      </c>
      <c r="B149" s="8">
        <v>24798</v>
      </c>
      <c r="C149" s="8">
        <v>176</v>
      </c>
      <c r="D149" s="7" t="s">
        <v>19</v>
      </c>
    </row>
    <row r="150" spans="1:4" ht="14.95" thickBot="1" x14ac:dyDescent="0.35">
      <c r="A150" s="8">
        <v>1702</v>
      </c>
      <c r="B150" s="8">
        <v>34040</v>
      </c>
      <c r="C150" s="8">
        <v>76</v>
      </c>
      <c r="D150" s="7" t="s">
        <v>7</v>
      </c>
    </row>
    <row r="151" spans="1:4" ht="14.95" thickBot="1" x14ac:dyDescent="0.35">
      <c r="A151" s="8">
        <v>4295</v>
      </c>
      <c r="B151" s="8">
        <v>85900</v>
      </c>
      <c r="C151" s="8">
        <v>290</v>
      </c>
      <c r="D151" s="7" t="s">
        <v>19</v>
      </c>
    </row>
    <row r="152" spans="1:4" ht="14.95" thickBot="1" x14ac:dyDescent="0.35">
      <c r="A152" s="8">
        <v>3559</v>
      </c>
      <c r="B152" s="8">
        <v>35590</v>
      </c>
      <c r="C152" s="8">
        <v>122</v>
      </c>
      <c r="D152" s="7" t="s">
        <v>7</v>
      </c>
    </row>
    <row r="153" spans="1:4" ht="14.95" thickBot="1" x14ac:dyDescent="0.35">
      <c r="A153" s="8">
        <v>4804</v>
      </c>
      <c r="B153" s="8">
        <v>28824</v>
      </c>
      <c r="C153" s="8">
        <v>47</v>
      </c>
      <c r="D153" s="7" t="s">
        <v>19</v>
      </c>
    </row>
    <row r="154" spans="1:4" ht="14.95" thickBot="1" x14ac:dyDescent="0.35">
      <c r="A154" s="8">
        <v>754</v>
      </c>
      <c r="B154" s="8">
        <v>6786</v>
      </c>
      <c r="C154" s="8">
        <v>212</v>
      </c>
      <c r="D154" s="7" t="s">
        <v>15</v>
      </c>
    </row>
    <row r="155" spans="1:4" ht="14.95" thickBot="1" x14ac:dyDescent="0.35">
      <c r="A155" s="8">
        <v>985</v>
      </c>
      <c r="B155" s="8">
        <v>6895</v>
      </c>
      <c r="C155" s="8">
        <v>64</v>
      </c>
      <c r="D155" s="7" t="s">
        <v>19</v>
      </c>
    </row>
    <row r="156" spans="1:4" ht="14.95" thickBot="1" x14ac:dyDescent="0.35">
      <c r="A156" s="8">
        <v>2283</v>
      </c>
      <c r="B156" s="8">
        <v>22830</v>
      </c>
      <c r="C156" s="8">
        <v>143</v>
      </c>
      <c r="D156" s="7" t="s">
        <v>11</v>
      </c>
    </row>
    <row r="157" spans="1:4" ht="14.95" thickBot="1" x14ac:dyDescent="0.35">
      <c r="A157" s="8">
        <v>3352</v>
      </c>
      <c r="B157" s="8">
        <v>43576</v>
      </c>
      <c r="C157" s="8">
        <v>240</v>
      </c>
      <c r="D157" s="7" t="s">
        <v>11</v>
      </c>
    </row>
    <row r="158" spans="1:4" ht="14.95" thickBot="1" x14ac:dyDescent="0.35">
      <c r="A158" s="8">
        <v>4775</v>
      </c>
      <c r="B158" s="8">
        <v>47750</v>
      </c>
      <c r="C158" s="8">
        <v>187</v>
      </c>
      <c r="D158" s="7" t="s">
        <v>11</v>
      </c>
    </row>
    <row r="159" spans="1:4" ht="14.95" thickBot="1" x14ac:dyDescent="0.35">
      <c r="A159" s="8">
        <v>1762</v>
      </c>
      <c r="B159" s="8">
        <v>22906</v>
      </c>
      <c r="C159" s="8">
        <v>25</v>
      </c>
      <c r="D159" s="7" t="s">
        <v>7</v>
      </c>
    </row>
    <row r="160" spans="1:4" ht="14.95" thickBot="1" x14ac:dyDescent="0.35">
      <c r="A160" s="8">
        <v>2120</v>
      </c>
      <c r="B160" s="8">
        <v>12720</v>
      </c>
      <c r="C160" s="8">
        <v>17</v>
      </c>
      <c r="D160" s="7" t="s">
        <v>11</v>
      </c>
    </row>
    <row r="161" spans="1:4" ht="14.95" thickBot="1" x14ac:dyDescent="0.35">
      <c r="A161" s="8">
        <v>1082</v>
      </c>
      <c r="B161" s="8">
        <v>19476</v>
      </c>
      <c r="C161" s="8">
        <v>20</v>
      </c>
      <c r="D161" s="7"/>
    </row>
    <row r="162" spans="1:4" ht="14.95" thickBot="1" x14ac:dyDescent="0.35">
      <c r="A162" s="8">
        <v>4671</v>
      </c>
      <c r="B162" s="8">
        <v>51381</v>
      </c>
      <c r="C162" s="8">
        <v>245</v>
      </c>
      <c r="D162" s="7" t="s">
        <v>19</v>
      </c>
    </row>
    <row r="163" spans="1:4" ht="14.95" thickBot="1" x14ac:dyDescent="0.35">
      <c r="A163" s="8">
        <v>3430</v>
      </c>
      <c r="B163" s="8">
        <v>48020</v>
      </c>
      <c r="C163" s="8">
        <v>120</v>
      </c>
      <c r="D163" s="7"/>
    </row>
    <row r="164" spans="1:4" ht="14.95" thickBot="1" x14ac:dyDescent="0.35">
      <c r="A164" s="8">
        <v>4501</v>
      </c>
      <c r="B164" s="8">
        <v>22505</v>
      </c>
      <c r="C164" s="8">
        <v>132</v>
      </c>
      <c r="D164" s="7" t="s">
        <v>11</v>
      </c>
    </row>
    <row r="165" spans="1:4" ht="14.95" thickBot="1" x14ac:dyDescent="0.35">
      <c r="A165" s="8">
        <v>4934</v>
      </c>
      <c r="B165" s="8">
        <v>39472</v>
      </c>
      <c r="C165" s="8">
        <v>169</v>
      </c>
      <c r="D165" s="7" t="s">
        <v>19</v>
      </c>
    </row>
    <row r="166" spans="1:4" ht="14.95" thickBot="1" x14ac:dyDescent="0.35">
      <c r="A166" s="8">
        <v>3239</v>
      </c>
      <c r="B166" s="8">
        <v>22673</v>
      </c>
      <c r="C166" s="8">
        <v>230</v>
      </c>
      <c r="D166" s="7" t="s">
        <v>11</v>
      </c>
    </row>
    <row r="167" spans="1:4" ht="14.95" thickBot="1" x14ac:dyDescent="0.35">
      <c r="A167" s="8">
        <v>1076</v>
      </c>
      <c r="B167" s="8">
        <v>11836</v>
      </c>
      <c r="C167" s="8">
        <v>104</v>
      </c>
      <c r="D167" s="7" t="s">
        <v>7</v>
      </c>
    </row>
    <row r="168" spans="1:4" ht="14.95" thickBot="1" x14ac:dyDescent="0.35">
      <c r="A168" s="8">
        <v>4771</v>
      </c>
      <c r="B168" s="8">
        <v>57252</v>
      </c>
      <c r="C168" s="8">
        <v>150</v>
      </c>
      <c r="D168" s="7"/>
    </row>
    <row r="169" spans="1:4" ht="14.95" thickBot="1" x14ac:dyDescent="0.35">
      <c r="A169" s="8">
        <v>2418</v>
      </c>
      <c r="B169" s="8">
        <v>43524</v>
      </c>
      <c r="C169" s="8">
        <v>182</v>
      </c>
      <c r="D169" s="7" t="s">
        <v>7</v>
      </c>
    </row>
    <row r="170" spans="1:4" ht="14.95" thickBot="1" x14ac:dyDescent="0.35">
      <c r="A170" s="8">
        <v>3809</v>
      </c>
      <c r="B170" s="8">
        <v>34281</v>
      </c>
      <c r="C170" s="8">
        <v>83</v>
      </c>
      <c r="D170" s="7" t="s">
        <v>7</v>
      </c>
    </row>
    <row r="171" spans="1:4" ht="14.95" thickBot="1" x14ac:dyDescent="0.35">
      <c r="A171" s="8">
        <v>3577</v>
      </c>
      <c r="B171" s="8">
        <v>67963</v>
      </c>
      <c r="C171" s="8">
        <v>53</v>
      </c>
      <c r="D171" s="7" t="s">
        <v>15</v>
      </c>
    </row>
    <row r="172" spans="1:4" ht="14.95" thickBot="1" x14ac:dyDescent="0.35">
      <c r="A172" s="8">
        <v>1018</v>
      </c>
      <c r="B172" s="8">
        <v>18324</v>
      </c>
      <c r="C172" s="8">
        <v>38</v>
      </c>
      <c r="D172" s="7" t="s">
        <v>11</v>
      </c>
    </row>
    <row r="173" spans="1:4" ht="14.95" thickBot="1" x14ac:dyDescent="0.35">
      <c r="A173" s="8">
        <v>3073</v>
      </c>
      <c r="B173" s="8">
        <v>52241</v>
      </c>
      <c r="C173" s="8">
        <v>246</v>
      </c>
      <c r="D173" s="7" t="s">
        <v>15</v>
      </c>
    </row>
    <row r="174" spans="1:4" ht="14.95" thickBot="1" x14ac:dyDescent="0.35">
      <c r="A174" s="8">
        <v>1330</v>
      </c>
      <c r="B174" s="8">
        <v>15960</v>
      </c>
      <c r="C174" s="8">
        <v>229</v>
      </c>
      <c r="D174" s="7" t="s">
        <v>15</v>
      </c>
    </row>
    <row r="175" spans="1:4" ht="14.95" thickBot="1" x14ac:dyDescent="0.35">
      <c r="A175" s="8">
        <v>3828</v>
      </c>
      <c r="B175" s="8">
        <v>30624</v>
      </c>
      <c r="C175" s="8">
        <v>235</v>
      </c>
      <c r="D175" s="7"/>
    </row>
    <row r="176" spans="1:4" ht="14.95" thickBot="1" x14ac:dyDescent="0.35">
      <c r="A176" s="8">
        <v>142</v>
      </c>
      <c r="B176" s="8">
        <v>1704</v>
      </c>
      <c r="C176" s="8">
        <v>154</v>
      </c>
      <c r="D176" s="7" t="s">
        <v>19</v>
      </c>
    </row>
    <row r="177" spans="1:4" ht="14.95" thickBot="1" x14ac:dyDescent="0.35">
      <c r="A177" s="8">
        <v>3798</v>
      </c>
      <c r="B177" s="8">
        <v>75960</v>
      </c>
      <c r="C177" s="8">
        <v>266</v>
      </c>
      <c r="D177" s="7" t="s">
        <v>7</v>
      </c>
    </row>
    <row r="178" spans="1:4" ht="14.95" thickBot="1" x14ac:dyDescent="0.35">
      <c r="A178" s="8">
        <v>3099</v>
      </c>
      <c r="B178" s="8">
        <v>43386</v>
      </c>
      <c r="C178" s="8">
        <v>52</v>
      </c>
      <c r="D178" s="7" t="s">
        <v>15</v>
      </c>
    </row>
    <row r="179" spans="1:4" ht="14.95" thickBot="1" x14ac:dyDescent="0.35">
      <c r="A179" s="8">
        <v>129</v>
      </c>
      <c r="B179" s="8">
        <v>1290</v>
      </c>
      <c r="C179" s="8">
        <v>238</v>
      </c>
      <c r="D179" s="7" t="s">
        <v>19</v>
      </c>
    </row>
    <row r="180" spans="1:4" ht="14.95" thickBot="1" x14ac:dyDescent="0.35">
      <c r="A180" s="8">
        <v>3796</v>
      </c>
      <c r="B180" s="8">
        <v>64532</v>
      </c>
      <c r="C180" s="8">
        <v>292</v>
      </c>
      <c r="D180" s="7"/>
    </row>
    <row r="181" spans="1:4" ht="14.95" thickBot="1" x14ac:dyDescent="0.35">
      <c r="A181" s="8">
        <v>3711</v>
      </c>
      <c r="B181" s="8">
        <v>48243</v>
      </c>
      <c r="C181" s="8">
        <v>11</v>
      </c>
      <c r="D181" s="7" t="s">
        <v>7</v>
      </c>
    </row>
    <row r="182" spans="1:4" ht="14.95" thickBot="1" x14ac:dyDescent="0.35">
      <c r="A182" s="8">
        <v>606</v>
      </c>
      <c r="B182" s="8">
        <v>7878</v>
      </c>
      <c r="C182" s="8">
        <v>239</v>
      </c>
      <c r="D182" s="7" t="s">
        <v>15</v>
      </c>
    </row>
    <row r="183" spans="1:4" ht="14.95" thickBot="1" x14ac:dyDescent="0.35">
      <c r="A183" s="8">
        <v>4689</v>
      </c>
      <c r="B183" s="8">
        <v>51579</v>
      </c>
      <c r="C183" s="8">
        <v>173</v>
      </c>
      <c r="D183" s="7" t="s">
        <v>19</v>
      </c>
    </row>
    <row r="184" spans="1:4" ht="14.95" thickBot="1" x14ac:dyDescent="0.35">
      <c r="A184" s="8">
        <v>360</v>
      </c>
      <c r="B184" s="8">
        <v>4680</v>
      </c>
      <c r="C184" s="8">
        <v>208</v>
      </c>
      <c r="D184" s="7" t="s">
        <v>11</v>
      </c>
    </row>
    <row r="185" spans="1:4" ht="14.95" thickBot="1" x14ac:dyDescent="0.35">
      <c r="A185" s="8">
        <v>3215</v>
      </c>
      <c r="B185" s="8">
        <v>32150</v>
      </c>
      <c r="C185" s="8">
        <v>251</v>
      </c>
      <c r="D185" s="7" t="s">
        <v>7</v>
      </c>
    </row>
    <row r="186" spans="1:4" ht="14.95" thickBot="1" x14ac:dyDescent="0.35">
      <c r="A186" s="8">
        <v>4523</v>
      </c>
      <c r="B186" s="8">
        <v>49753</v>
      </c>
      <c r="C186" s="8">
        <v>71</v>
      </c>
      <c r="D186" s="7"/>
    </row>
    <row r="187" spans="1:4" ht="14.95" thickBot="1" x14ac:dyDescent="0.35">
      <c r="A187" s="8">
        <v>4292</v>
      </c>
      <c r="B187" s="8">
        <v>55796</v>
      </c>
      <c r="C187" s="8">
        <v>264</v>
      </c>
      <c r="D187" s="7" t="s">
        <v>15</v>
      </c>
    </row>
    <row r="188" spans="1:4" ht="14.95" thickBot="1" x14ac:dyDescent="0.35">
      <c r="A188" s="8">
        <v>1644</v>
      </c>
      <c r="B188" s="8">
        <v>27948</v>
      </c>
      <c r="C188" s="8">
        <v>300</v>
      </c>
      <c r="D188" s="7" t="s">
        <v>15</v>
      </c>
    </row>
    <row r="189" spans="1:4" ht="14.95" thickBot="1" x14ac:dyDescent="0.35">
      <c r="A189" s="8">
        <v>2728</v>
      </c>
      <c r="B189" s="8">
        <v>40920</v>
      </c>
      <c r="C189" s="8">
        <v>137</v>
      </c>
      <c r="D189" s="7" t="s">
        <v>11</v>
      </c>
    </row>
    <row r="190" spans="1:4" ht="14.95" thickBot="1" x14ac:dyDescent="0.35">
      <c r="A190" s="8">
        <v>3360</v>
      </c>
      <c r="B190" s="8">
        <v>60480</v>
      </c>
      <c r="C190" s="8">
        <v>192</v>
      </c>
      <c r="D190" s="7" t="s">
        <v>7</v>
      </c>
    </row>
    <row r="191" spans="1:4" ht="14.95" thickBot="1" x14ac:dyDescent="0.35">
      <c r="A191" s="8">
        <v>1963</v>
      </c>
      <c r="B191" s="8">
        <v>39260</v>
      </c>
      <c r="C191" s="8">
        <v>145</v>
      </c>
      <c r="D191" s="7"/>
    </row>
    <row r="192" spans="1:4" ht="14.95" thickBot="1" x14ac:dyDescent="0.35">
      <c r="A192" s="8">
        <v>4285</v>
      </c>
      <c r="B192" s="8">
        <v>55705</v>
      </c>
      <c r="C192" s="8">
        <v>51</v>
      </c>
      <c r="D192" s="7" t="s">
        <v>15</v>
      </c>
    </row>
    <row r="193" spans="1:4" ht="14.95" thickBot="1" x14ac:dyDescent="0.35">
      <c r="A193" s="8">
        <v>1176</v>
      </c>
      <c r="B193" s="8">
        <v>14112</v>
      </c>
      <c r="C193" s="8">
        <v>272</v>
      </c>
      <c r="D193" s="7"/>
    </row>
    <row r="194" spans="1:4" ht="14.95" thickBot="1" x14ac:dyDescent="0.35">
      <c r="A194" s="8">
        <v>4858</v>
      </c>
      <c r="B194" s="8">
        <v>53438</v>
      </c>
      <c r="C194" s="8">
        <v>223</v>
      </c>
      <c r="D194" s="7" t="s">
        <v>15</v>
      </c>
    </row>
    <row r="195" spans="1:4" ht="14.95" thickBot="1" x14ac:dyDescent="0.35">
      <c r="A195" s="8">
        <v>4350</v>
      </c>
      <c r="B195" s="8">
        <v>60900</v>
      </c>
      <c r="C195" s="8">
        <v>195</v>
      </c>
      <c r="D195" s="7" t="s">
        <v>7</v>
      </c>
    </row>
    <row r="196" spans="1:4" ht="14.95" thickBot="1" x14ac:dyDescent="0.35">
      <c r="A196" s="8">
        <v>914</v>
      </c>
      <c r="B196" s="8">
        <v>11882</v>
      </c>
      <c r="C196" s="8">
        <v>282</v>
      </c>
      <c r="D196" s="7" t="s">
        <v>19</v>
      </c>
    </row>
    <row r="197" spans="1:4" ht="14.95" thickBot="1" x14ac:dyDescent="0.35">
      <c r="A197" s="8">
        <v>1813</v>
      </c>
      <c r="B197" s="8">
        <v>19943</v>
      </c>
      <c r="C197" s="8">
        <v>85</v>
      </c>
      <c r="D197" s="7" t="s">
        <v>15</v>
      </c>
    </row>
    <row r="198" spans="1:4" ht="14.95" thickBot="1" x14ac:dyDescent="0.35">
      <c r="A198" s="8">
        <v>4782</v>
      </c>
      <c r="B198" s="8">
        <v>86076</v>
      </c>
      <c r="C198" s="8">
        <v>19</v>
      </c>
      <c r="D198" s="7" t="s">
        <v>7</v>
      </c>
    </row>
    <row r="199" spans="1:4" ht="14.95" thickBot="1" x14ac:dyDescent="0.35">
      <c r="A199" s="8">
        <v>1048</v>
      </c>
      <c r="B199" s="8">
        <v>9432</v>
      </c>
      <c r="C199" s="8">
        <v>158</v>
      </c>
      <c r="D199" s="7" t="s">
        <v>15</v>
      </c>
    </row>
    <row r="200" spans="1:4" ht="14.95" thickBot="1" x14ac:dyDescent="0.35">
      <c r="A200" s="8">
        <v>2509</v>
      </c>
      <c r="B200" s="8">
        <v>35126</v>
      </c>
      <c r="C200" s="8">
        <v>277</v>
      </c>
      <c r="D200" s="7" t="s">
        <v>11</v>
      </c>
    </row>
    <row r="201" spans="1:4" ht="14.95" thickBot="1" x14ac:dyDescent="0.35">
      <c r="A201" s="8">
        <v>3718</v>
      </c>
      <c r="B201" s="8">
        <v>70642</v>
      </c>
      <c r="C201" s="8">
        <v>233</v>
      </c>
      <c r="D201" s="7" t="s">
        <v>11</v>
      </c>
    </row>
    <row r="202" spans="1:4" ht="14.95" thickBot="1" x14ac:dyDescent="0.35">
      <c r="A202" s="8">
        <v>802</v>
      </c>
      <c r="B202" s="8">
        <v>14436</v>
      </c>
      <c r="C202" s="8">
        <v>49</v>
      </c>
      <c r="D202" s="7" t="s">
        <v>7</v>
      </c>
    </row>
    <row r="203" spans="1:4" ht="14.95" thickBot="1" x14ac:dyDescent="0.35">
      <c r="A203" s="8">
        <v>1871</v>
      </c>
      <c r="B203" s="8">
        <v>29936</v>
      </c>
      <c r="C203" s="8">
        <v>288</v>
      </c>
      <c r="D203" s="7" t="s">
        <v>15</v>
      </c>
    </row>
    <row r="204" spans="1:4" ht="14.95" thickBot="1" x14ac:dyDescent="0.35">
      <c r="A204" s="8">
        <v>3773</v>
      </c>
      <c r="B204" s="8">
        <v>71687</v>
      </c>
      <c r="C204" s="8">
        <v>286</v>
      </c>
      <c r="D204" s="7" t="s">
        <v>7</v>
      </c>
    </row>
    <row r="205" spans="1:4" ht="14.95" thickBot="1" x14ac:dyDescent="0.35">
      <c r="A205" s="8">
        <v>2234</v>
      </c>
      <c r="B205" s="8">
        <v>11170</v>
      </c>
      <c r="C205" s="8">
        <v>198</v>
      </c>
      <c r="D205" s="7" t="s">
        <v>15</v>
      </c>
    </row>
    <row r="206" spans="1:4" ht="14.95" thickBot="1" x14ac:dyDescent="0.35">
      <c r="A206" s="8">
        <v>3820</v>
      </c>
      <c r="B206" s="8">
        <v>45840</v>
      </c>
      <c r="C206" s="8">
        <v>171</v>
      </c>
      <c r="D206" s="7" t="s">
        <v>19</v>
      </c>
    </row>
    <row r="207" spans="1:4" ht="14.95" thickBot="1" x14ac:dyDescent="0.35">
      <c r="A207" s="8">
        <v>941</v>
      </c>
      <c r="B207" s="8">
        <v>14115</v>
      </c>
      <c r="C207" s="8">
        <v>87</v>
      </c>
      <c r="D207" s="7" t="s">
        <v>7</v>
      </c>
    </row>
    <row r="208" spans="1:4" ht="14.95" thickBot="1" x14ac:dyDescent="0.35">
      <c r="A208" s="8">
        <v>4274</v>
      </c>
      <c r="B208" s="8">
        <v>34192</v>
      </c>
      <c r="C208" s="8">
        <v>129</v>
      </c>
      <c r="D208" s="7" t="s">
        <v>15</v>
      </c>
    </row>
    <row r="209" spans="1:4" ht="14.95" thickBot="1" x14ac:dyDescent="0.35">
      <c r="A209" s="8">
        <v>2949</v>
      </c>
      <c r="B209" s="8">
        <v>44235</v>
      </c>
      <c r="C209" s="8">
        <v>135</v>
      </c>
      <c r="D209" s="7" t="s">
        <v>11</v>
      </c>
    </row>
    <row r="210" spans="1:4" ht="14.95" thickBot="1" x14ac:dyDescent="0.35">
      <c r="A210" s="8">
        <v>3160</v>
      </c>
      <c r="B210" s="8">
        <v>44240</v>
      </c>
      <c r="C210" s="8">
        <v>49</v>
      </c>
      <c r="D210" s="7" t="s">
        <v>19</v>
      </c>
    </row>
    <row r="211" spans="1:4" ht="14.95" thickBot="1" x14ac:dyDescent="0.35">
      <c r="A211" s="8">
        <v>257</v>
      </c>
      <c r="B211" s="8">
        <v>3341</v>
      </c>
      <c r="C211" s="8">
        <v>287</v>
      </c>
      <c r="D211" s="7" t="s">
        <v>7</v>
      </c>
    </row>
    <row r="212" spans="1:4" ht="14.95" thickBot="1" x14ac:dyDescent="0.35">
      <c r="A212" s="8">
        <v>2120</v>
      </c>
      <c r="B212" s="8">
        <v>12720</v>
      </c>
      <c r="C212" s="8">
        <v>21</v>
      </c>
      <c r="D212" s="7" t="s">
        <v>19</v>
      </c>
    </row>
    <row r="213" spans="1:4" ht="14.95" thickBot="1" x14ac:dyDescent="0.35">
      <c r="A213" s="8">
        <v>3874</v>
      </c>
      <c r="B213" s="8">
        <v>38740</v>
      </c>
      <c r="C213" s="8">
        <v>219</v>
      </c>
      <c r="D213" s="7" t="s">
        <v>11</v>
      </c>
    </row>
    <row r="214" spans="1:4" ht="14.95" thickBot="1" x14ac:dyDescent="0.35">
      <c r="A214" s="8">
        <v>2696</v>
      </c>
      <c r="B214" s="8">
        <v>45832</v>
      </c>
      <c r="C214" s="8">
        <v>248</v>
      </c>
      <c r="D214" s="7" t="s">
        <v>19</v>
      </c>
    </row>
    <row r="215" spans="1:4" ht="14.95" thickBot="1" x14ac:dyDescent="0.35">
      <c r="A215" s="8">
        <v>521</v>
      </c>
      <c r="B215" s="8">
        <v>4168</v>
      </c>
      <c r="C215" s="8">
        <v>282</v>
      </c>
      <c r="D215" s="7" t="s">
        <v>11</v>
      </c>
    </row>
    <row r="216" spans="1:4" ht="14.95" thickBot="1" x14ac:dyDescent="0.35">
      <c r="A216" s="8">
        <v>4872</v>
      </c>
      <c r="B216" s="8">
        <v>82824</v>
      </c>
      <c r="C216" s="8">
        <v>89</v>
      </c>
      <c r="D216" s="7" t="s">
        <v>11</v>
      </c>
    </row>
    <row r="217" spans="1:4" ht="14.95" thickBot="1" x14ac:dyDescent="0.35">
      <c r="A217" s="8">
        <v>1509</v>
      </c>
      <c r="B217" s="8">
        <v>30180</v>
      </c>
      <c r="C217" s="8">
        <v>119</v>
      </c>
      <c r="D217" s="7" t="s">
        <v>11</v>
      </c>
    </row>
    <row r="218" spans="1:4" ht="14.95" thickBot="1" x14ac:dyDescent="0.35">
      <c r="A218" s="8">
        <v>4606</v>
      </c>
      <c r="B218" s="8">
        <v>92120</v>
      </c>
      <c r="C218" s="8">
        <v>56</v>
      </c>
      <c r="D218" s="7"/>
    </row>
    <row r="219" spans="1:4" ht="14.95" thickBot="1" x14ac:dyDescent="0.35">
      <c r="A219" s="8">
        <v>1869</v>
      </c>
      <c r="B219" s="8">
        <v>14952</v>
      </c>
      <c r="C219" s="8">
        <v>275</v>
      </c>
      <c r="D219" s="7" t="s">
        <v>19</v>
      </c>
    </row>
    <row r="220" spans="1:4" ht="14.95" thickBot="1" x14ac:dyDescent="0.35">
      <c r="A220" s="8">
        <v>1188</v>
      </c>
      <c r="B220" s="8">
        <v>7128</v>
      </c>
      <c r="C220" s="8">
        <v>270</v>
      </c>
      <c r="D220" s="7" t="s">
        <v>19</v>
      </c>
    </row>
    <row r="221" spans="1:4" ht="14.95" thickBot="1" x14ac:dyDescent="0.35">
      <c r="A221" s="8">
        <v>84</v>
      </c>
      <c r="B221" s="8">
        <v>588</v>
      </c>
      <c r="C221" s="8">
        <v>12</v>
      </c>
      <c r="D221" s="7"/>
    </row>
    <row r="222" spans="1:4" ht="14.95" thickBot="1" x14ac:dyDescent="0.35">
      <c r="A222" s="8">
        <v>4453</v>
      </c>
      <c r="B222" s="8">
        <v>31171</v>
      </c>
      <c r="C222" s="8">
        <v>23</v>
      </c>
      <c r="D222" s="7"/>
    </row>
    <row r="223" spans="1:4" ht="14.95" thickBot="1" x14ac:dyDescent="0.35">
      <c r="A223" s="8">
        <v>1814</v>
      </c>
      <c r="B223" s="8">
        <v>25396</v>
      </c>
      <c r="C223" s="8">
        <v>39</v>
      </c>
      <c r="D223" s="7" t="s">
        <v>7</v>
      </c>
    </row>
    <row r="224" spans="1:4" ht="14.95" thickBot="1" x14ac:dyDescent="0.35">
      <c r="A224" s="8">
        <v>3338</v>
      </c>
      <c r="B224" s="8">
        <v>60084</v>
      </c>
      <c r="C224" s="8">
        <v>252</v>
      </c>
      <c r="D224" s="7"/>
    </row>
    <row r="225" spans="1:4" ht="14.95" thickBot="1" x14ac:dyDescent="0.35">
      <c r="A225" s="8">
        <v>602</v>
      </c>
      <c r="B225" s="8">
        <v>4214</v>
      </c>
      <c r="C225" s="8">
        <v>164</v>
      </c>
      <c r="D225" s="7" t="s">
        <v>15</v>
      </c>
    </row>
    <row r="226" spans="1:4" ht="14.95" thickBot="1" x14ac:dyDescent="0.35">
      <c r="A226" s="8">
        <v>4672</v>
      </c>
      <c r="B226" s="8">
        <v>88768</v>
      </c>
      <c r="C226" s="8">
        <v>118</v>
      </c>
      <c r="D226" s="7"/>
    </row>
    <row r="227" spans="1:4" ht="14.95" thickBot="1" x14ac:dyDescent="0.35">
      <c r="A227" s="8">
        <v>1741</v>
      </c>
      <c r="B227" s="8">
        <v>8705</v>
      </c>
      <c r="C227" s="8">
        <v>121</v>
      </c>
      <c r="D227" s="7"/>
    </row>
    <row r="228" spans="1:4" ht="14.95" thickBot="1" x14ac:dyDescent="0.35">
      <c r="A228" s="8">
        <v>246</v>
      </c>
      <c r="B228" s="8">
        <v>4674</v>
      </c>
      <c r="C228" s="8">
        <v>217</v>
      </c>
      <c r="D228" s="7" t="s">
        <v>15</v>
      </c>
    </row>
    <row r="229" spans="1:4" ht="14.95" thickBot="1" x14ac:dyDescent="0.35">
      <c r="A229" s="8">
        <v>4808</v>
      </c>
      <c r="B229" s="8">
        <v>72120</v>
      </c>
      <c r="C229" s="8">
        <v>195</v>
      </c>
      <c r="D229" s="7" t="s">
        <v>7</v>
      </c>
    </row>
    <row r="230" spans="1:4" ht="14.95" thickBot="1" x14ac:dyDescent="0.35">
      <c r="A230" s="8">
        <v>4799</v>
      </c>
      <c r="B230" s="8">
        <v>43191</v>
      </c>
      <c r="C230" s="8">
        <v>118</v>
      </c>
      <c r="D230" s="7"/>
    </row>
    <row r="231" spans="1:4" ht="14.95" thickBot="1" x14ac:dyDescent="0.35">
      <c r="A231" s="8">
        <v>3663</v>
      </c>
      <c r="B231" s="8">
        <v>51282</v>
      </c>
      <c r="C231" s="8">
        <v>84</v>
      </c>
      <c r="D231" s="7" t="s">
        <v>15</v>
      </c>
    </row>
    <row r="232" spans="1:4" ht="14.95" thickBot="1" x14ac:dyDescent="0.35">
      <c r="A232" s="8">
        <v>1430</v>
      </c>
      <c r="B232" s="8">
        <v>21450</v>
      </c>
      <c r="C232" s="8">
        <v>251</v>
      </c>
      <c r="D232" s="7" t="s">
        <v>7</v>
      </c>
    </row>
    <row r="233" spans="1:4" ht="14.95" thickBot="1" x14ac:dyDescent="0.35">
      <c r="A233" s="8">
        <v>249</v>
      </c>
      <c r="B233" s="8">
        <v>1494</v>
      </c>
      <c r="C233" s="8">
        <v>201</v>
      </c>
      <c r="D233" s="7" t="s">
        <v>19</v>
      </c>
    </row>
    <row r="234" spans="1:4" ht="14.95" thickBot="1" x14ac:dyDescent="0.35">
      <c r="A234" s="8">
        <v>2382</v>
      </c>
      <c r="B234" s="8">
        <v>38112</v>
      </c>
      <c r="C234" s="8">
        <v>249</v>
      </c>
      <c r="D234" s="7" t="s">
        <v>19</v>
      </c>
    </row>
    <row r="235" spans="1:4" ht="14.95" thickBot="1" x14ac:dyDescent="0.35">
      <c r="A235" s="8">
        <v>1272</v>
      </c>
      <c r="B235" s="8">
        <v>24168</v>
      </c>
      <c r="C235" s="8">
        <v>42</v>
      </c>
      <c r="D235" s="7"/>
    </row>
    <row r="236" spans="1:4" ht="14.95" thickBot="1" x14ac:dyDescent="0.35">
      <c r="A236" s="8">
        <v>3196</v>
      </c>
      <c r="B236" s="8">
        <v>35156</v>
      </c>
      <c r="C236" s="8">
        <v>241</v>
      </c>
      <c r="D236" s="7" t="s">
        <v>15</v>
      </c>
    </row>
    <row r="237" spans="1:4" ht="14.95" thickBot="1" x14ac:dyDescent="0.35">
      <c r="A237" s="8">
        <v>1257</v>
      </c>
      <c r="B237" s="8">
        <v>12570</v>
      </c>
      <c r="C237" s="8">
        <v>194</v>
      </c>
      <c r="D237" s="7" t="s">
        <v>11</v>
      </c>
    </row>
    <row r="238" spans="1:4" ht="14.95" thickBot="1" x14ac:dyDescent="0.35">
      <c r="A238" s="8">
        <v>3770</v>
      </c>
      <c r="B238" s="8">
        <v>71630</v>
      </c>
      <c r="C238" s="8">
        <v>76</v>
      </c>
      <c r="D238" s="7" t="s">
        <v>7</v>
      </c>
    </row>
    <row r="239" spans="1:4" ht="14.95" thickBot="1" x14ac:dyDescent="0.35">
      <c r="A239" s="8">
        <v>4725</v>
      </c>
      <c r="B239" s="8">
        <v>75600</v>
      </c>
      <c r="C239" s="8">
        <v>43</v>
      </c>
      <c r="D239" s="7" t="s">
        <v>19</v>
      </c>
    </row>
    <row r="240" spans="1:4" ht="14.95" thickBot="1" x14ac:dyDescent="0.35">
      <c r="A240" s="8">
        <v>4188</v>
      </c>
      <c r="B240" s="8">
        <v>20940</v>
      </c>
      <c r="C240" s="8">
        <v>102</v>
      </c>
      <c r="D240" s="7"/>
    </row>
    <row r="241" spans="1:4" ht="14.95" thickBot="1" x14ac:dyDescent="0.35">
      <c r="A241" s="8">
        <v>929</v>
      </c>
      <c r="B241" s="8">
        <v>16722</v>
      </c>
      <c r="C241" s="8">
        <v>145</v>
      </c>
      <c r="D241" s="7" t="s">
        <v>15</v>
      </c>
    </row>
    <row r="242" spans="1:4" ht="14.95" thickBot="1" x14ac:dyDescent="0.35">
      <c r="A242" s="8">
        <v>4321</v>
      </c>
      <c r="B242" s="8">
        <v>30247</v>
      </c>
      <c r="C242" s="8">
        <v>122</v>
      </c>
      <c r="D242" s="7" t="s">
        <v>19</v>
      </c>
    </row>
    <row r="243" spans="1:4" ht="14.95" thickBot="1" x14ac:dyDescent="0.35">
      <c r="A243" s="8">
        <v>4767</v>
      </c>
      <c r="B243" s="8">
        <v>28602</v>
      </c>
      <c r="C243" s="8">
        <v>210</v>
      </c>
      <c r="D243" s="7" t="s">
        <v>15</v>
      </c>
    </row>
    <row r="244" spans="1:4" ht="14.95" thickBot="1" x14ac:dyDescent="0.35">
      <c r="A244" s="8">
        <v>3592</v>
      </c>
      <c r="B244" s="8">
        <v>50288</v>
      </c>
      <c r="C244" s="8">
        <v>32</v>
      </c>
      <c r="D244" s="7" t="s">
        <v>19</v>
      </c>
    </row>
    <row r="245" spans="1:4" ht="14.95" thickBot="1" x14ac:dyDescent="0.35">
      <c r="A245" s="8">
        <v>4661</v>
      </c>
      <c r="B245" s="8">
        <v>23305</v>
      </c>
      <c r="C245" s="8">
        <v>63</v>
      </c>
      <c r="D245" s="7" t="s">
        <v>15</v>
      </c>
    </row>
    <row r="246" spans="1:4" ht="14.95" thickBot="1" x14ac:dyDescent="0.35">
      <c r="A246" s="8">
        <v>4134</v>
      </c>
      <c r="B246" s="8">
        <v>41340</v>
      </c>
      <c r="C246" s="8">
        <v>177</v>
      </c>
      <c r="D246" s="7" t="s">
        <v>7</v>
      </c>
    </row>
    <row r="247" spans="1:4" ht="14.95" thickBot="1" x14ac:dyDescent="0.35">
      <c r="A247" s="8">
        <v>400</v>
      </c>
      <c r="B247" s="8">
        <v>6400</v>
      </c>
      <c r="C247" s="8">
        <v>160</v>
      </c>
      <c r="D247" s="7" t="s">
        <v>11</v>
      </c>
    </row>
    <row r="248" spans="1:4" ht="14.95" thickBot="1" x14ac:dyDescent="0.35">
      <c r="A248" s="8">
        <v>3960</v>
      </c>
      <c r="B248" s="8">
        <v>35640</v>
      </c>
      <c r="C248" s="8">
        <v>208</v>
      </c>
      <c r="D248" s="7"/>
    </row>
    <row r="249" spans="1:4" ht="14.95" thickBot="1" x14ac:dyDescent="0.35">
      <c r="A249" s="8">
        <v>886</v>
      </c>
      <c r="B249" s="8">
        <v>4430</v>
      </c>
      <c r="C249" s="8">
        <v>212</v>
      </c>
      <c r="D249" s="7"/>
    </row>
    <row r="250" spans="1:4" ht="14.95" thickBot="1" x14ac:dyDescent="0.35">
      <c r="A250" s="8">
        <v>827</v>
      </c>
      <c r="B250" s="8">
        <v>14886</v>
      </c>
      <c r="C250" s="8">
        <v>254</v>
      </c>
      <c r="D250" s="7" t="s">
        <v>11</v>
      </c>
    </row>
    <row r="251" spans="1:4" ht="14.95" thickBot="1" x14ac:dyDescent="0.35">
      <c r="A251" s="8">
        <v>3813</v>
      </c>
      <c r="B251" s="8">
        <v>68634</v>
      </c>
      <c r="C251" s="8">
        <v>251</v>
      </c>
      <c r="D251" s="7"/>
    </row>
    <row r="252" spans="1:4" ht="14.95" thickBot="1" x14ac:dyDescent="0.35">
      <c r="A252" s="8">
        <v>1377</v>
      </c>
      <c r="B252" s="8">
        <v>22032</v>
      </c>
      <c r="C252" s="8">
        <v>189</v>
      </c>
      <c r="D252" s="7"/>
    </row>
    <row r="253" spans="1:4" ht="14.95" thickBot="1" x14ac:dyDescent="0.35">
      <c r="A253" s="8">
        <v>2089</v>
      </c>
      <c r="B253" s="8">
        <v>16712</v>
      </c>
      <c r="C253" s="8">
        <v>64</v>
      </c>
      <c r="D253" s="7" t="s">
        <v>15</v>
      </c>
    </row>
    <row r="254" spans="1:4" ht="14.95" thickBot="1" x14ac:dyDescent="0.35">
      <c r="A254" s="8">
        <v>3791</v>
      </c>
      <c r="B254" s="8">
        <v>53074</v>
      </c>
      <c r="C254" s="8">
        <v>205</v>
      </c>
      <c r="D254" s="7"/>
    </row>
    <row r="255" spans="1:4" ht="14.95" thickBot="1" x14ac:dyDescent="0.35">
      <c r="A255" s="8">
        <v>2692</v>
      </c>
      <c r="B255" s="8">
        <v>21536</v>
      </c>
      <c r="C255" s="8">
        <v>224</v>
      </c>
      <c r="D255" s="7" t="s">
        <v>11</v>
      </c>
    </row>
    <row r="256" spans="1:4" ht="14.95" thickBot="1" x14ac:dyDescent="0.35">
      <c r="A256" s="8">
        <v>3767</v>
      </c>
      <c r="B256" s="8">
        <v>37670</v>
      </c>
      <c r="C256" s="8">
        <v>226</v>
      </c>
      <c r="D256" s="7" t="s">
        <v>19</v>
      </c>
    </row>
    <row r="257" spans="1:4" ht="14.95" thickBot="1" x14ac:dyDescent="0.35">
      <c r="A257" s="8">
        <v>2143</v>
      </c>
      <c r="B257" s="8">
        <v>40717</v>
      </c>
      <c r="C257" s="8">
        <v>248</v>
      </c>
      <c r="D257" s="7" t="s">
        <v>11</v>
      </c>
    </row>
    <row r="258" spans="1:4" ht="14.95" thickBot="1" x14ac:dyDescent="0.35">
      <c r="A258" s="8">
        <v>3090</v>
      </c>
      <c r="B258" s="8">
        <v>49440</v>
      </c>
      <c r="C258" s="8">
        <v>25</v>
      </c>
      <c r="D258" s="7" t="s">
        <v>11</v>
      </c>
    </row>
    <row r="259" spans="1:4" ht="14.95" thickBot="1" x14ac:dyDescent="0.35">
      <c r="A259" s="8">
        <v>3601</v>
      </c>
      <c r="B259" s="8">
        <v>21606</v>
      </c>
      <c r="C259" s="8">
        <v>172</v>
      </c>
      <c r="D259" s="7" t="s">
        <v>11</v>
      </c>
    </row>
    <row r="260" spans="1:4" ht="14.95" thickBot="1" x14ac:dyDescent="0.35">
      <c r="A260" s="8">
        <v>562</v>
      </c>
      <c r="B260" s="8">
        <v>3372</v>
      </c>
      <c r="C260" s="8">
        <v>93</v>
      </c>
      <c r="D260" s="7" t="s">
        <v>7</v>
      </c>
    </row>
    <row r="261" spans="1:4" ht="14.95" thickBot="1" x14ac:dyDescent="0.35">
      <c r="A261" s="8">
        <v>4332</v>
      </c>
      <c r="B261" s="8">
        <v>60648</v>
      </c>
      <c r="C261" s="8">
        <v>10</v>
      </c>
      <c r="D261" s="7" t="s">
        <v>15</v>
      </c>
    </row>
    <row r="262" spans="1:4" ht="14.95" thickBot="1" x14ac:dyDescent="0.35">
      <c r="A262" s="8">
        <v>4853</v>
      </c>
      <c r="B262" s="8">
        <v>72795</v>
      </c>
      <c r="C262" s="8">
        <v>170</v>
      </c>
      <c r="D262" s="7" t="s">
        <v>7</v>
      </c>
    </row>
    <row r="263" spans="1:4" ht="14.95" thickBot="1" x14ac:dyDescent="0.35">
      <c r="A263" s="8">
        <v>1206</v>
      </c>
      <c r="B263" s="8">
        <v>9648</v>
      </c>
      <c r="C263" s="8">
        <v>237</v>
      </c>
      <c r="D263" s="7"/>
    </row>
    <row r="264" spans="1:4" ht="14.95" thickBot="1" x14ac:dyDescent="0.35">
      <c r="A264" s="8">
        <v>2603</v>
      </c>
      <c r="B264" s="8">
        <v>13015</v>
      </c>
      <c r="C264" s="8">
        <v>20</v>
      </c>
      <c r="D264" s="7" t="s">
        <v>11</v>
      </c>
    </row>
    <row r="265" spans="1:4" ht="14.95" thickBot="1" x14ac:dyDescent="0.35">
      <c r="A265" s="8">
        <v>59</v>
      </c>
      <c r="B265" s="8">
        <v>590</v>
      </c>
      <c r="C265" s="8">
        <v>293</v>
      </c>
      <c r="D265" s="7" t="s">
        <v>11</v>
      </c>
    </row>
    <row r="266" spans="1:4" ht="14.95" thickBot="1" x14ac:dyDescent="0.35">
      <c r="A266" s="8">
        <v>1877</v>
      </c>
      <c r="B266" s="8">
        <v>11262</v>
      </c>
      <c r="C266" s="8">
        <v>41</v>
      </c>
      <c r="D266" s="7" t="s">
        <v>19</v>
      </c>
    </row>
    <row r="267" spans="1:4" ht="14.95" thickBot="1" x14ac:dyDescent="0.35">
      <c r="A267" s="8">
        <v>4182</v>
      </c>
      <c r="B267" s="8">
        <v>50184</v>
      </c>
      <c r="C267" s="8">
        <v>10</v>
      </c>
      <c r="D267" s="7" t="s">
        <v>15</v>
      </c>
    </row>
    <row r="268" spans="1:4" ht="14.95" thickBot="1" x14ac:dyDescent="0.35">
      <c r="A268" s="8">
        <v>4187</v>
      </c>
      <c r="B268" s="8">
        <v>66992</v>
      </c>
      <c r="C268" s="8">
        <v>62</v>
      </c>
      <c r="D268" s="7"/>
    </row>
    <row r="269" spans="1:4" ht="14.95" thickBot="1" x14ac:dyDescent="0.35">
      <c r="A269" s="8">
        <v>4579</v>
      </c>
      <c r="B269" s="8">
        <v>59527</v>
      </c>
      <c r="C269" s="8">
        <v>269</v>
      </c>
      <c r="D269" s="7" t="s">
        <v>7</v>
      </c>
    </row>
    <row r="270" spans="1:4" ht="14.95" thickBot="1" x14ac:dyDescent="0.35">
      <c r="A270" s="8">
        <v>4561</v>
      </c>
      <c r="B270" s="8">
        <v>22805</v>
      </c>
      <c r="C270" s="8">
        <v>45</v>
      </c>
      <c r="D270" s="7" t="s">
        <v>11</v>
      </c>
    </row>
    <row r="271" spans="1:4" ht="14.95" thickBot="1" x14ac:dyDescent="0.35">
      <c r="A271" s="8">
        <v>3774</v>
      </c>
      <c r="B271" s="8">
        <v>60384</v>
      </c>
      <c r="C271" s="8">
        <v>241</v>
      </c>
      <c r="D271" s="7" t="s">
        <v>15</v>
      </c>
    </row>
    <row r="272" spans="1:4" ht="14.95" thickBot="1" x14ac:dyDescent="0.35">
      <c r="A272" s="8">
        <v>3575</v>
      </c>
      <c r="B272" s="8">
        <v>21450</v>
      </c>
      <c r="C272" s="8">
        <v>195</v>
      </c>
      <c r="D272" s="7" t="s">
        <v>11</v>
      </c>
    </row>
    <row r="273" spans="1:4" ht="14.95" thickBot="1" x14ac:dyDescent="0.35">
      <c r="A273" s="8">
        <v>4941</v>
      </c>
      <c r="B273" s="8">
        <v>39528</v>
      </c>
      <c r="C273" s="8">
        <v>217</v>
      </c>
      <c r="D273" s="7" t="s">
        <v>15</v>
      </c>
    </row>
    <row r="274" spans="1:4" ht="14.95" thickBot="1" x14ac:dyDescent="0.35">
      <c r="A274" s="8">
        <v>3641</v>
      </c>
      <c r="B274" s="8">
        <v>40051</v>
      </c>
      <c r="C274" s="8">
        <v>296</v>
      </c>
      <c r="D274" s="7" t="s">
        <v>19</v>
      </c>
    </row>
    <row r="275" spans="1:4" ht="14.95" thickBot="1" x14ac:dyDescent="0.35">
      <c r="A275" s="8">
        <v>3535</v>
      </c>
      <c r="B275" s="8">
        <v>53025</v>
      </c>
      <c r="C275" s="8">
        <v>44</v>
      </c>
      <c r="D275" s="7" t="s">
        <v>19</v>
      </c>
    </row>
    <row r="276" spans="1:4" ht="14.95" thickBot="1" x14ac:dyDescent="0.35">
      <c r="A276" s="8">
        <v>1741</v>
      </c>
      <c r="B276" s="8">
        <v>17410</v>
      </c>
      <c r="C276" s="8">
        <v>58</v>
      </c>
      <c r="D276" s="7" t="s">
        <v>15</v>
      </c>
    </row>
    <row r="277" spans="1:4" ht="14.95" thickBot="1" x14ac:dyDescent="0.35">
      <c r="A277" s="8">
        <v>1556</v>
      </c>
      <c r="B277" s="8">
        <v>9336</v>
      </c>
      <c r="C277" s="8">
        <v>137</v>
      </c>
      <c r="D277" s="7" t="s">
        <v>11</v>
      </c>
    </row>
    <row r="278" spans="1:4" ht="14.95" thickBot="1" x14ac:dyDescent="0.35">
      <c r="A278" s="8">
        <v>4236</v>
      </c>
      <c r="B278" s="8">
        <v>21180</v>
      </c>
      <c r="C278" s="8">
        <v>238</v>
      </c>
      <c r="D278" s="7" t="s">
        <v>7</v>
      </c>
    </row>
    <row r="279" spans="1:4" ht="14.95" thickBot="1" x14ac:dyDescent="0.35">
      <c r="A279" s="8">
        <v>4516</v>
      </c>
      <c r="B279" s="8">
        <v>49676</v>
      </c>
      <c r="C279" s="8">
        <v>282</v>
      </c>
      <c r="D279" s="7" t="s">
        <v>19</v>
      </c>
    </row>
    <row r="280" spans="1:4" ht="14.95" thickBot="1" x14ac:dyDescent="0.35">
      <c r="A280" s="8">
        <v>4905</v>
      </c>
      <c r="B280" s="8">
        <v>98100</v>
      </c>
      <c r="C280" s="8">
        <v>279</v>
      </c>
      <c r="D280" s="7" t="s">
        <v>11</v>
      </c>
    </row>
    <row r="281" spans="1:4" ht="14.95" thickBot="1" x14ac:dyDescent="0.35">
      <c r="A281" s="8">
        <v>4275</v>
      </c>
      <c r="B281" s="8">
        <v>64125</v>
      </c>
      <c r="C281" s="8">
        <v>104</v>
      </c>
      <c r="D281" s="7" t="s">
        <v>19</v>
      </c>
    </row>
    <row r="282" spans="1:4" ht="14.95" thickBot="1" x14ac:dyDescent="0.35">
      <c r="A282" s="8">
        <v>3166</v>
      </c>
      <c r="B282" s="8">
        <v>56988</v>
      </c>
      <c r="C282" s="8">
        <v>135</v>
      </c>
      <c r="D282" s="7" t="s">
        <v>11</v>
      </c>
    </row>
    <row r="283" spans="1:4" ht="14.95" thickBot="1" x14ac:dyDescent="0.35">
      <c r="A283" s="8">
        <v>1488</v>
      </c>
      <c r="B283" s="8">
        <v>19344</v>
      </c>
      <c r="C283" s="8">
        <v>30</v>
      </c>
      <c r="D283" s="7" t="s">
        <v>15</v>
      </c>
    </row>
    <row r="284" spans="1:4" ht="14.95" thickBot="1" x14ac:dyDescent="0.35">
      <c r="A284" s="8">
        <v>3367</v>
      </c>
      <c r="B284" s="8">
        <v>63973</v>
      </c>
      <c r="C284" s="8">
        <v>157</v>
      </c>
      <c r="D284" s="7" t="s">
        <v>11</v>
      </c>
    </row>
    <row r="285" spans="1:4" ht="14.95" thickBot="1" x14ac:dyDescent="0.35">
      <c r="A285" s="8">
        <v>571</v>
      </c>
      <c r="B285" s="8">
        <v>9707</v>
      </c>
      <c r="C285" s="8">
        <v>231</v>
      </c>
      <c r="D285" s="7" t="s">
        <v>19</v>
      </c>
    </row>
    <row r="286" spans="1:4" ht="14.95" thickBot="1" x14ac:dyDescent="0.35">
      <c r="A286" s="8">
        <v>4021</v>
      </c>
      <c r="B286" s="8">
        <v>36189</v>
      </c>
      <c r="C286" s="8">
        <v>174</v>
      </c>
      <c r="D286" s="7"/>
    </row>
    <row r="287" spans="1:4" ht="14.95" thickBot="1" x14ac:dyDescent="0.35">
      <c r="A287" s="8">
        <v>3389</v>
      </c>
      <c r="B287" s="8">
        <v>20334</v>
      </c>
      <c r="C287" s="8">
        <v>228</v>
      </c>
      <c r="D287" s="7" t="s">
        <v>15</v>
      </c>
    </row>
    <row r="288" spans="1:4" ht="14.95" thickBot="1" x14ac:dyDescent="0.35">
      <c r="A288" s="8">
        <v>1164</v>
      </c>
      <c r="B288" s="8">
        <v>6984</v>
      </c>
      <c r="C288" s="8">
        <v>82</v>
      </c>
      <c r="D288" s="7" t="s">
        <v>7</v>
      </c>
    </row>
    <row r="289" spans="1:4" ht="14.95" thickBot="1" x14ac:dyDescent="0.35">
      <c r="A289" s="8">
        <v>4780</v>
      </c>
      <c r="B289" s="8">
        <v>86040</v>
      </c>
      <c r="C289" s="8">
        <v>262</v>
      </c>
      <c r="D289" s="7" t="s">
        <v>15</v>
      </c>
    </row>
    <row r="290" spans="1:4" ht="14.95" thickBot="1" x14ac:dyDescent="0.35">
      <c r="A290" s="8">
        <v>2751</v>
      </c>
      <c r="B290" s="8">
        <v>44016</v>
      </c>
      <c r="C290" s="8">
        <v>129</v>
      </c>
      <c r="D290" s="7"/>
    </row>
    <row r="291" spans="1:4" ht="14.95" thickBot="1" x14ac:dyDescent="0.35">
      <c r="A291" s="8">
        <v>2107</v>
      </c>
      <c r="B291" s="8">
        <v>35819</v>
      </c>
      <c r="C291" s="8">
        <v>191</v>
      </c>
      <c r="D291" s="7" t="s">
        <v>19</v>
      </c>
    </row>
    <row r="292" spans="1:4" ht="14.95" thickBot="1" x14ac:dyDescent="0.35">
      <c r="A292" s="8">
        <v>4663</v>
      </c>
      <c r="B292" s="8">
        <v>69945</v>
      </c>
      <c r="C292" s="8">
        <v>35</v>
      </c>
      <c r="D292" s="7" t="s">
        <v>19</v>
      </c>
    </row>
    <row r="293" spans="1:4" ht="14.95" thickBot="1" x14ac:dyDescent="0.35">
      <c r="A293" s="8">
        <v>880</v>
      </c>
      <c r="B293" s="8">
        <v>12320</v>
      </c>
      <c r="C293" s="8">
        <v>238</v>
      </c>
      <c r="D293" s="7"/>
    </row>
    <row r="294" spans="1:4" ht="14.95" thickBot="1" x14ac:dyDescent="0.35">
      <c r="A294" s="8">
        <v>2634</v>
      </c>
      <c r="B294" s="8">
        <v>28974</v>
      </c>
      <c r="C294" s="8">
        <v>277</v>
      </c>
      <c r="D294" s="7" t="s">
        <v>7</v>
      </c>
    </row>
    <row r="295" spans="1:4" ht="14.95" thickBot="1" x14ac:dyDescent="0.35">
      <c r="A295" s="8">
        <v>4731</v>
      </c>
      <c r="B295" s="8">
        <v>28386</v>
      </c>
      <c r="C295" s="8">
        <v>89</v>
      </c>
      <c r="D295" s="7" t="s">
        <v>15</v>
      </c>
    </row>
    <row r="296" spans="1:4" ht="14.95" thickBot="1" x14ac:dyDescent="0.35">
      <c r="A296" s="8">
        <v>1952</v>
      </c>
      <c r="B296" s="8">
        <v>15616</v>
      </c>
      <c r="C296" s="8">
        <v>235</v>
      </c>
      <c r="D296" s="7" t="s">
        <v>11</v>
      </c>
    </row>
    <row r="297" spans="1:4" ht="14.95" thickBot="1" x14ac:dyDescent="0.35">
      <c r="A297" s="8">
        <v>3440</v>
      </c>
      <c r="B297" s="8">
        <v>58480</v>
      </c>
      <c r="C297" s="8">
        <v>210</v>
      </c>
      <c r="D297" s="7" t="s">
        <v>19</v>
      </c>
    </row>
    <row r="298" spans="1:4" ht="14.95" thickBot="1" x14ac:dyDescent="0.35">
      <c r="A298" s="8">
        <v>2166</v>
      </c>
      <c r="B298" s="8">
        <v>10830</v>
      </c>
      <c r="C298" s="8">
        <v>24</v>
      </c>
      <c r="D298" s="7" t="s">
        <v>19</v>
      </c>
    </row>
    <row r="299" spans="1:4" ht="14.95" thickBot="1" x14ac:dyDescent="0.35">
      <c r="A299" s="8">
        <v>4303</v>
      </c>
      <c r="B299" s="8">
        <v>86060</v>
      </c>
      <c r="C299" s="8">
        <v>14</v>
      </c>
      <c r="D299" s="7" t="s">
        <v>15</v>
      </c>
    </row>
    <row r="300" spans="1:4" ht="14.95" thickBot="1" x14ac:dyDescent="0.35">
      <c r="A300" s="8">
        <v>2581</v>
      </c>
      <c r="B300" s="8">
        <v>23229</v>
      </c>
      <c r="C300" s="8">
        <v>70</v>
      </c>
      <c r="D300" s="7" t="s">
        <v>15</v>
      </c>
    </row>
    <row r="301" spans="1:4" ht="14.95" thickBot="1" x14ac:dyDescent="0.35">
      <c r="A301" s="11">
        <v>4494</v>
      </c>
      <c r="B301" s="11">
        <v>62916</v>
      </c>
      <c r="C301" s="11">
        <v>191</v>
      </c>
      <c r="D301" s="12" t="s">
        <v>7</v>
      </c>
    </row>
    <row r="302" spans="1:4" ht="14.95" thickBot="1" x14ac:dyDescent="0.35">
      <c r="A302" s="7"/>
      <c r="B302" s="7"/>
      <c r="C302" s="7"/>
      <c r="D302" s="7"/>
    </row>
    <row r="303" spans="1:4" ht="14.95" thickBot="1" x14ac:dyDescent="0.35">
      <c r="A303" s="7"/>
      <c r="B303" s="7"/>
      <c r="C303" s="7"/>
      <c r="D303" s="7"/>
    </row>
    <row r="304" spans="1:4" ht="14.95" thickBot="1" x14ac:dyDescent="0.35">
      <c r="A304" s="7"/>
      <c r="B304" s="7"/>
      <c r="C304" s="7"/>
      <c r="D304" s="7"/>
    </row>
    <row r="305" spans="1:4" ht="14.95" thickBot="1" x14ac:dyDescent="0.35">
      <c r="A305" s="7"/>
      <c r="B305" s="7"/>
      <c r="C305" s="7"/>
      <c r="D305" s="7"/>
    </row>
    <row r="306" spans="1:4" ht="14.95" thickBot="1" x14ac:dyDescent="0.35">
      <c r="A306" s="7"/>
      <c r="B306" s="7"/>
      <c r="C306" s="7"/>
      <c r="D306" s="7"/>
    </row>
    <row r="307" spans="1:4" ht="14.95" thickBot="1" x14ac:dyDescent="0.35">
      <c r="A307" s="7"/>
      <c r="B307" s="7"/>
      <c r="C307" s="7"/>
      <c r="D307" s="7"/>
    </row>
    <row r="308" spans="1:4" ht="14.95" thickBot="1" x14ac:dyDescent="0.35">
      <c r="A308" s="7"/>
      <c r="B308" s="7"/>
      <c r="C308" s="7"/>
      <c r="D308" s="7"/>
    </row>
    <row r="309" spans="1:4" ht="14.95" thickBot="1" x14ac:dyDescent="0.35">
      <c r="A309" s="7"/>
      <c r="B309" s="7"/>
      <c r="C309" s="7"/>
      <c r="D309" s="7"/>
    </row>
    <row r="310" spans="1:4" ht="14.95" thickBot="1" x14ac:dyDescent="0.35">
      <c r="A310" s="7"/>
      <c r="B310" s="7"/>
      <c r="C310" s="7"/>
      <c r="D310" s="7"/>
    </row>
    <row r="311" spans="1:4" ht="14.95" thickBot="1" x14ac:dyDescent="0.35">
      <c r="A311" s="7"/>
      <c r="B311" s="7"/>
      <c r="C311" s="7"/>
      <c r="D311" s="7"/>
    </row>
    <row r="312" spans="1:4" ht="14.95" thickBot="1" x14ac:dyDescent="0.35">
      <c r="A312" s="7"/>
      <c r="B312" s="7"/>
      <c r="C312" s="7"/>
      <c r="D312" s="7"/>
    </row>
    <row r="313" spans="1:4" ht="14.95" thickBot="1" x14ac:dyDescent="0.35">
      <c r="A313" s="7"/>
      <c r="B313" s="7"/>
      <c r="C313" s="7"/>
      <c r="D313" s="7"/>
    </row>
    <row r="314" spans="1:4" ht="14.95" thickBot="1" x14ac:dyDescent="0.35">
      <c r="A314" s="7"/>
      <c r="B314" s="7"/>
      <c r="C314" s="7"/>
      <c r="D314" s="7"/>
    </row>
    <row r="315" spans="1:4" ht="14.95" thickBot="1" x14ac:dyDescent="0.35">
      <c r="A315" s="7"/>
      <c r="B315" s="7"/>
      <c r="C315" s="7"/>
      <c r="D315" s="7"/>
    </row>
    <row r="316" spans="1:4" ht="14.95" thickBot="1" x14ac:dyDescent="0.35">
      <c r="A316" s="7"/>
      <c r="B316" s="7"/>
      <c r="C316" s="7"/>
      <c r="D316" s="7"/>
    </row>
    <row r="317" spans="1:4" ht="14.95" thickBot="1" x14ac:dyDescent="0.35">
      <c r="A317" s="7"/>
      <c r="B317" s="7"/>
      <c r="C317" s="7"/>
      <c r="D317" s="7"/>
    </row>
    <row r="318" spans="1:4" ht="14.95" thickBot="1" x14ac:dyDescent="0.35">
      <c r="A318" s="7"/>
      <c r="B318" s="7"/>
      <c r="C318" s="7"/>
      <c r="D318" s="7"/>
    </row>
    <row r="319" spans="1:4" ht="14.95" thickBot="1" x14ac:dyDescent="0.35">
      <c r="A319" s="7"/>
      <c r="B319" s="7"/>
      <c r="C319" s="7"/>
      <c r="D319" s="7"/>
    </row>
    <row r="320" spans="1:4" ht="14.95" thickBot="1" x14ac:dyDescent="0.35">
      <c r="A320" s="7"/>
      <c r="B320" s="7"/>
      <c r="C320" s="7"/>
      <c r="D320" s="7"/>
    </row>
    <row r="321" spans="1:4" ht="14.95" thickBot="1" x14ac:dyDescent="0.35">
      <c r="A321" s="7"/>
      <c r="B321" s="7"/>
      <c r="C321" s="7"/>
      <c r="D321" s="7"/>
    </row>
    <row r="322" spans="1:4" ht="14.95" thickBot="1" x14ac:dyDescent="0.35">
      <c r="A322" s="7"/>
      <c r="B322" s="7"/>
      <c r="C322" s="7"/>
      <c r="D322" s="7"/>
    </row>
    <row r="323" spans="1:4" ht="14.95" thickBot="1" x14ac:dyDescent="0.35">
      <c r="A323" s="7"/>
      <c r="B323" s="7"/>
      <c r="C323" s="7"/>
      <c r="D323" s="7"/>
    </row>
    <row r="324" spans="1:4" ht="14.95" thickBot="1" x14ac:dyDescent="0.35">
      <c r="A324" s="7"/>
      <c r="B324" s="7"/>
      <c r="C324" s="7"/>
      <c r="D324" s="7"/>
    </row>
    <row r="325" spans="1:4" ht="14.95" thickBot="1" x14ac:dyDescent="0.35">
      <c r="A325" s="7"/>
      <c r="B325" s="7"/>
      <c r="C325" s="7"/>
      <c r="D325" s="7"/>
    </row>
    <row r="326" spans="1:4" ht="14.95" thickBot="1" x14ac:dyDescent="0.35">
      <c r="A326" s="7"/>
      <c r="B326" s="7"/>
      <c r="C326" s="7"/>
      <c r="D326" s="7"/>
    </row>
    <row r="327" spans="1:4" ht="14.95" thickBot="1" x14ac:dyDescent="0.35">
      <c r="A327" s="7"/>
      <c r="B327" s="7"/>
      <c r="C327" s="7"/>
      <c r="D327" s="7"/>
    </row>
    <row r="328" spans="1:4" ht="14.95" thickBot="1" x14ac:dyDescent="0.35">
      <c r="A328" s="7"/>
      <c r="B328" s="7"/>
      <c r="C328" s="7"/>
      <c r="D328" s="7"/>
    </row>
    <row r="329" spans="1:4" ht="14.95" thickBot="1" x14ac:dyDescent="0.35">
      <c r="A329" s="7"/>
      <c r="B329" s="7"/>
      <c r="C329" s="7"/>
      <c r="D329" s="7"/>
    </row>
    <row r="330" spans="1:4" ht="14.95" thickBot="1" x14ac:dyDescent="0.35">
      <c r="A330" s="7"/>
      <c r="B330" s="7"/>
      <c r="C330" s="7"/>
      <c r="D330" s="7"/>
    </row>
    <row r="331" spans="1:4" ht="14.95" thickBot="1" x14ac:dyDescent="0.35">
      <c r="A331" s="7"/>
      <c r="B331" s="7"/>
      <c r="C331" s="7"/>
      <c r="D331" s="7"/>
    </row>
    <row r="332" spans="1:4" ht="14.95" thickBot="1" x14ac:dyDescent="0.35">
      <c r="A332" s="7"/>
      <c r="B332" s="7"/>
      <c r="C332" s="7"/>
      <c r="D332" s="7"/>
    </row>
    <row r="333" spans="1:4" ht="14.95" thickBot="1" x14ac:dyDescent="0.35">
      <c r="A333" s="7"/>
      <c r="B333" s="7"/>
      <c r="C333" s="7"/>
      <c r="D333" s="7"/>
    </row>
    <row r="334" spans="1:4" ht="14.95" thickBot="1" x14ac:dyDescent="0.35">
      <c r="A334" s="7"/>
      <c r="B334" s="7"/>
      <c r="C334" s="7"/>
      <c r="D334" s="7"/>
    </row>
    <row r="335" spans="1:4" ht="14.95" thickBot="1" x14ac:dyDescent="0.35">
      <c r="A335" s="7"/>
      <c r="B335" s="7"/>
      <c r="C335" s="7"/>
      <c r="D335" s="7"/>
    </row>
    <row r="336" spans="1:4" ht="14.95" thickBot="1" x14ac:dyDescent="0.35">
      <c r="A336" s="7"/>
      <c r="B336" s="7"/>
      <c r="C336" s="7"/>
      <c r="D336" s="7"/>
    </row>
    <row r="337" spans="1:4" ht="14.95" thickBot="1" x14ac:dyDescent="0.35">
      <c r="A337" s="7"/>
      <c r="B337" s="7"/>
      <c r="C337" s="7"/>
      <c r="D337" s="7"/>
    </row>
    <row r="338" spans="1:4" ht="14.95" thickBot="1" x14ac:dyDescent="0.35">
      <c r="A338" s="7"/>
      <c r="B338" s="7"/>
      <c r="C338" s="7"/>
      <c r="D338" s="7"/>
    </row>
    <row r="339" spans="1:4" ht="14.95" thickBot="1" x14ac:dyDescent="0.35">
      <c r="A339" s="7"/>
      <c r="B339" s="7"/>
      <c r="C339" s="7"/>
      <c r="D339" s="7"/>
    </row>
    <row r="340" spans="1:4" ht="14.95" thickBot="1" x14ac:dyDescent="0.35">
      <c r="A340" s="7"/>
      <c r="B340" s="7"/>
      <c r="C340" s="7"/>
      <c r="D340" s="7"/>
    </row>
    <row r="341" spans="1:4" ht="14.95" thickBot="1" x14ac:dyDescent="0.35">
      <c r="A341" s="7"/>
      <c r="B341" s="7"/>
      <c r="C341" s="7"/>
      <c r="D341" s="7"/>
    </row>
    <row r="342" spans="1:4" ht="14.95" thickBot="1" x14ac:dyDescent="0.35">
      <c r="A342" s="7"/>
      <c r="B342" s="7"/>
      <c r="C342" s="7"/>
      <c r="D342" s="7"/>
    </row>
    <row r="343" spans="1:4" ht="14.95" thickBot="1" x14ac:dyDescent="0.35">
      <c r="A343" s="7"/>
      <c r="B343" s="7"/>
      <c r="C343" s="7"/>
      <c r="D343" s="7"/>
    </row>
    <row r="344" spans="1:4" ht="14.95" thickBot="1" x14ac:dyDescent="0.35">
      <c r="A344" s="7"/>
      <c r="B344" s="7"/>
      <c r="C344" s="7"/>
      <c r="D344" s="7"/>
    </row>
    <row r="345" spans="1:4" ht="14.95" thickBot="1" x14ac:dyDescent="0.35">
      <c r="A345" s="7"/>
      <c r="B345" s="7"/>
      <c r="C345" s="7"/>
      <c r="D345" s="7"/>
    </row>
    <row r="346" spans="1:4" ht="14.95" thickBot="1" x14ac:dyDescent="0.35">
      <c r="A346" s="7"/>
      <c r="B346" s="7"/>
      <c r="C346" s="7"/>
      <c r="D346" s="7"/>
    </row>
    <row r="347" spans="1:4" ht="14.95" thickBot="1" x14ac:dyDescent="0.35">
      <c r="A347" s="7"/>
      <c r="B347" s="7"/>
      <c r="C347" s="7"/>
      <c r="D347" s="7"/>
    </row>
    <row r="348" spans="1:4" ht="14.95" thickBot="1" x14ac:dyDescent="0.35">
      <c r="A348" s="7"/>
      <c r="B348" s="7"/>
      <c r="C348" s="7"/>
      <c r="D348" s="7"/>
    </row>
    <row r="349" spans="1:4" ht="14.95" thickBot="1" x14ac:dyDescent="0.35">
      <c r="A349" s="7"/>
      <c r="B349" s="7"/>
      <c r="C349" s="7"/>
      <c r="D349" s="7"/>
    </row>
    <row r="350" spans="1:4" ht="14.95" thickBot="1" x14ac:dyDescent="0.35">
      <c r="A350" s="7"/>
      <c r="B350" s="7"/>
      <c r="C350" s="7"/>
      <c r="D350" s="7"/>
    </row>
    <row r="351" spans="1:4" ht="14.95" thickBot="1" x14ac:dyDescent="0.35">
      <c r="A351" s="7"/>
      <c r="B351" s="7"/>
      <c r="C351" s="7"/>
      <c r="D351" s="7"/>
    </row>
    <row r="352" spans="1:4" ht="14.95" thickBot="1" x14ac:dyDescent="0.35">
      <c r="A352" s="7"/>
      <c r="B352" s="7"/>
      <c r="C352" s="7"/>
      <c r="D352" s="7"/>
    </row>
    <row r="353" spans="1:4" ht="14.95" thickBot="1" x14ac:dyDescent="0.35">
      <c r="A353" s="7"/>
      <c r="B353" s="7"/>
      <c r="C353" s="7"/>
      <c r="D353" s="7"/>
    </row>
    <row r="354" spans="1:4" ht="14.95" thickBot="1" x14ac:dyDescent="0.35">
      <c r="A354" s="7"/>
      <c r="B354" s="7"/>
      <c r="C354" s="7"/>
      <c r="D354" s="7"/>
    </row>
    <row r="355" spans="1:4" ht="14.95" thickBot="1" x14ac:dyDescent="0.35">
      <c r="A355" s="7"/>
      <c r="B355" s="7"/>
      <c r="C355" s="7"/>
      <c r="D355" s="7"/>
    </row>
    <row r="356" spans="1:4" ht="14.95" thickBot="1" x14ac:dyDescent="0.35">
      <c r="A356" s="7"/>
      <c r="B356" s="7"/>
      <c r="C356" s="7"/>
      <c r="D356" s="7"/>
    </row>
    <row r="357" spans="1:4" ht="14.95" thickBot="1" x14ac:dyDescent="0.35">
      <c r="A357" s="7"/>
      <c r="B357" s="7"/>
      <c r="C357" s="7"/>
      <c r="D357" s="7"/>
    </row>
    <row r="358" spans="1:4" ht="14.95" thickBot="1" x14ac:dyDescent="0.35">
      <c r="A358" s="7"/>
      <c r="B358" s="7"/>
      <c r="C358" s="7"/>
      <c r="D358" s="7"/>
    </row>
    <row r="359" spans="1:4" ht="14.95" thickBot="1" x14ac:dyDescent="0.35">
      <c r="A359" s="7"/>
      <c r="B359" s="7"/>
      <c r="C359" s="7"/>
      <c r="D359" s="7"/>
    </row>
    <row r="360" spans="1:4" ht="14.95" thickBot="1" x14ac:dyDescent="0.35">
      <c r="A360" s="7"/>
      <c r="B360" s="7"/>
      <c r="C360" s="7"/>
      <c r="D360" s="7"/>
    </row>
    <row r="361" spans="1:4" ht="14.95" thickBot="1" x14ac:dyDescent="0.35">
      <c r="A361" s="7"/>
      <c r="B361" s="7"/>
      <c r="C361" s="7"/>
      <c r="D361" s="7"/>
    </row>
    <row r="362" spans="1:4" ht="14.95" thickBot="1" x14ac:dyDescent="0.35">
      <c r="A362" s="7"/>
      <c r="B362" s="7"/>
      <c r="C362" s="7"/>
      <c r="D362" s="7"/>
    </row>
    <row r="363" spans="1:4" ht="14.95" thickBot="1" x14ac:dyDescent="0.35">
      <c r="A363" s="7"/>
      <c r="B363" s="7"/>
      <c r="C363" s="7"/>
      <c r="D363" s="7"/>
    </row>
    <row r="364" spans="1:4" ht="14.95" thickBot="1" x14ac:dyDescent="0.35">
      <c r="A364" s="7"/>
      <c r="B364" s="7"/>
      <c r="C364" s="7"/>
      <c r="D364" s="7"/>
    </row>
    <row r="365" spans="1:4" ht="14.95" thickBot="1" x14ac:dyDescent="0.35">
      <c r="A365" s="7"/>
      <c r="B365" s="7"/>
      <c r="C365" s="7"/>
      <c r="D365" s="7"/>
    </row>
    <row r="366" spans="1:4" ht="14.95" thickBot="1" x14ac:dyDescent="0.35">
      <c r="A366" s="7"/>
      <c r="B366" s="7"/>
      <c r="C366" s="7"/>
      <c r="D366" s="7"/>
    </row>
    <row r="367" spans="1:4" ht="14.95" thickBot="1" x14ac:dyDescent="0.35">
      <c r="A367" s="7"/>
      <c r="B367" s="7"/>
      <c r="C367" s="7"/>
      <c r="D367" s="7"/>
    </row>
    <row r="368" spans="1:4" ht="14.95" thickBot="1" x14ac:dyDescent="0.35">
      <c r="A368" s="7"/>
      <c r="B368" s="7"/>
      <c r="C368" s="7"/>
      <c r="D368" s="7"/>
    </row>
    <row r="369" spans="1:4" ht="14.95" thickBot="1" x14ac:dyDescent="0.35">
      <c r="A369" s="7"/>
      <c r="B369" s="7"/>
      <c r="C369" s="7"/>
      <c r="D369" s="7"/>
    </row>
    <row r="370" spans="1:4" ht="14.95" thickBot="1" x14ac:dyDescent="0.35">
      <c r="A370" s="7"/>
      <c r="B370" s="7"/>
      <c r="C370" s="7"/>
      <c r="D370" s="7"/>
    </row>
    <row r="371" spans="1:4" ht="14.95" thickBot="1" x14ac:dyDescent="0.35">
      <c r="A371" s="7"/>
      <c r="B371" s="7"/>
      <c r="C371" s="7"/>
      <c r="D371" s="7"/>
    </row>
    <row r="372" spans="1:4" ht="14.95" thickBot="1" x14ac:dyDescent="0.35">
      <c r="A372" s="7"/>
      <c r="B372" s="7"/>
      <c r="C372" s="7"/>
      <c r="D372" s="7"/>
    </row>
    <row r="373" spans="1:4" ht="14.95" thickBot="1" x14ac:dyDescent="0.35">
      <c r="A373" s="7"/>
      <c r="B373" s="7"/>
      <c r="C373" s="7"/>
      <c r="D373" s="7"/>
    </row>
    <row r="374" spans="1:4" ht="14.95" thickBot="1" x14ac:dyDescent="0.35">
      <c r="A374" s="7"/>
      <c r="B374" s="7"/>
      <c r="C374" s="7"/>
      <c r="D374" s="7"/>
    </row>
    <row r="375" spans="1:4" ht="14.95" thickBot="1" x14ac:dyDescent="0.35">
      <c r="A375" s="7"/>
      <c r="B375" s="7"/>
      <c r="C375" s="7"/>
      <c r="D375" s="7"/>
    </row>
    <row r="376" spans="1:4" ht="14.95" thickBot="1" x14ac:dyDescent="0.35">
      <c r="A376" s="7"/>
      <c r="B376" s="7"/>
      <c r="C376" s="7"/>
      <c r="D376" s="7"/>
    </row>
    <row r="377" spans="1:4" ht="14.95" thickBot="1" x14ac:dyDescent="0.35">
      <c r="A377" s="7"/>
      <c r="B377" s="7"/>
      <c r="C377" s="7"/>
      <c r="D377" s="7"/>
    </row>
    <row r="378" spans="1:4" ht="14.95" thickBot="1" x14ac:dyDescent="0.35">
      <c r="A378" s="7"/>
      <c r="B378" s="7"/>
      <c r="C378" s="7"/>
      <c r="D378" s="7"/>
    </row>
    <row r="379" spans="1:4" ht="14.95" thickBot="1" x14ac:dyDescent="0.35">
      <c r="A379" s="7"/>
      <c r="B379" s="7"/>
      <c r="C379" s="7"/>
      <c r="D379" s="7"/>
    </row>
    <row r="380" spans="1:4" ht="14.95" thickBot="1" x14ac:dyDescent="0.35">
      <c r="A380" s="7"/>
      <c r="B380" s="7"/>
      <c r="C380" s="7"/>
      <c r="D380" s="7"/>
    </row>
    <row r="381" spans="1:4" ht="14.95" thickBot="1" x14ac:dyDescent="0.35">
      <c r="A381" s="7"/>
      <c r="B381" s="7"/>
      <c r="C381" s="7"/>
      <c r="D381" s="7"/>
    </row>
    <row r="382" spans="1:4" ht="14.95" thickBot="1" x14ac:dyDescent="0.35">
      <c r="A382" s="7"/>
      <c r="B382" s="7"/>
      <c r="C382" s="7"/>
      <c r="D382" s="7"/>
    </row>
    <row r="383" spans="1:4" ht="14.95" thickBot="1" x14ac:dyDescent="0.35">
      <c r="A383" s="7"/>
      <c r="B383" s="7"/>
      <c r="C383" s="7"/>
      <c r="D383" s="7"/>
    </row>
    <row r="384" spans="1:4" ht="14.95" thickBot="1" x14ac:dyDescent="0.35">
      <c r="A384" s="7"/>
      <c r="B384" s="7"/>
      <c r="C384" s="7"/>
      <c r="D384" s="7"/>
    </row>
    <row r="385" spans="1:4" ht="14.95" thickBot="1" x14ac:dyDescent="0.35">
      <c r="A385" s="7"/>
      <c r="B385" s="7"/>
      <c r="C385" s="7"/>
      <c r="D385" s="7"/>
    </row>
    <row r="386" spans="1:4" ht="14.95" thickBot="1" x14ac:dyDescent="0.35">
      <c r="A386" s="7"/>
      <c r="B386" s="7"/>
      <c r="C386" s="7"/>
      <c r="D386" s="7"/>
    </row>
    <row r="387" spans="1:4" ht="14.95" thickBot="1" x14ac:dyDescent="0.35">
      <c r="A387" s="7"/>
      <c r="B387" s="7"/>
      <c r="C387" s="7"/>
      <c r="D387" s="7"/>
    </row>
    <row r="388" spans="1:4" ht="14.95" thickBot="1" x14ac:dyDescent="0.35">
      <c r="A388" s="7"/>
      <c r="B388" s="7"/>
      <c r="C388" s="7"/>
      <c r="D388" s="7"/>
    </row>
    <row r="389" spans="1:4" ht="14.95" thickBot="1" x14ac:dyDescent="0.35">
      <c r="A389" s="7"/>
      <c r="B389" s="7"/>
      <c r="C389" s="7"/>
      <c r="D389" s="7"/>
    </row>
    <row r="390" spans="1:4" ht="14.95" thickBot="1" x14ac:dyDescent="0.35">
      <c r="A390" s="7"/>
      <c r="B390" s="7"/>
      <c r="C390" s="7"/>
      <c r="D390" s="7"/>
    </row>
    <row r="391" spans="1:4" ht="14.95" thickBot="1" x14ac:dyDescent="0.35">
      <c r="A391" s="7"/>
      <c r="B391" s="7"/>
      <c r="C391" s="7"/>
      <c r="D391" s="7"/>
    </row>
    <row r="392" spans="1:4" ht="14.95" thickBot="1" x14ac:dyDescent="0.35">
      <c r="A392" s="7"/>
      <c r="B392" s="7"/>
      <c r="C392" s="7"/>
      <c r="D392" s="7"/>
    </row>
    <row r="393" spans="1:4" ht="14.95" thickBot="1" x14ac:dyDescent="0.35">
      <c r="A393" s="7"/>
      <c r="B393" s="7"/>
      <c r="C393" s="7"/>
      <c r="D393" s="7"/>
    </row>
    <row r="394" spans="1:4" ht="14.95" thickBot="1" x14ac:dyDescent="0.35">
      <c r="A394" s="7"/>
      <c r="B394" s="7"/>
      <c r="C394" s="7"/>
      <c r="D394" s="7"/>
    </row>
    <row r="395" spans="1:4" ht="14.95" thickBot="1" x14ac:dyDescent="0.35">
      <c r="A395" s="7"/>
      <c r="B395" s="7"/>
      <c r="C395" s="7"/>
      <c r="D395" s="7"/>
    </row>
    <row r="396" spans="1:4" ht="14.95" thickBot="1" x14ac:dyDescent="0.35">
      <c r="A396" s="7"/>
      <c r="B396" s="7"/>
      <c r="C396" s="7"/>
      <c r="D396" s="7"/>
    </row>
    <row r="397" spans="1:4" ht="14.95" thickBot="1" x14ac:dyDescent="0.35">
      <c r="A397" s="7"/>
      <c r="B397" s="7"/>
      <c r="C397" s="7"/>
      <c r="D397" s="7"/>
    </row>
    <row r="398" spans="1:4" ht="14.95" thickBot="1" x14ac:dyDescent="0.35">
      <c r="A398" s="7"/>
      <c r="B398" s="7"/>
      <c r="C398" s="7"/>
      <c r="D398" s="7"/>
    </row>
    <row r="399" spans="1:4" ht="14.95" thickBot="1" x14ac:dyDescent="0.35">
      <c r="A399" s="7"/>
      <c r="B399" s="7"/>
      <c r="C399" s="7"/>
      <c r="D399" s="7"/>
    </row>
    <row r="400" spans="1:4" ht="14.95" thickBot="1" x14ac:dyDescent="0.35">
      <c r="A400" s="7"/>
      <c r="B400" s="7"/>
      <c r="C400" s="7"/>
      <c r="D400" s="7"/>
    </row>
    <row r="401" spans="1:4" ht="14.95" thickBot="1" x14ac:dyDescent="0.35">
      <c r="A401" s="7"/>
      <c r="B401" s="7"/>
      <c r="C401" s="7"/>
      <c r="D401" s="7"/>
    </row>
    <row r="402" spans="1:4" ht="14.95" thickBot="1" x14ac:dyDescent="0.35">
      <c r="A402" s="7"/>
      <c r="B402" s="7"/>
      <c r="C402" s="7"/>
      <c r="D402" s="7"/>
    </row>
    <row r="403" spans="1:4" ht="14.95" thickBot="1" x14ac:dyDescent="0.35">
      <c r="A403" s="7"/>
      <c r="B403" s="7"/>
      <c r="C403" s="7"/>
      <c r="D403" s="7"/>
    </row>
    <row r="404" spans="1:4" ht="14.95" thickBot="1" x14ac:dyDescent="0.35">
      <c r="A404" s="7"/>
      <c r="B404" s="7"/>
      <c r="C404" s="7"/>
      <c r="D404" s="7"/>
    </row>
    <row r="405" spans="1:4" ht="14.95" thickBot="1" x14ac:dyDescent="0.35">
      <c r="A405" s="7"/>
      <c r="B405" s="7"/>
      <c r="C405" s="7"/>
      <c r="D405" s="7"/>
    </row>
    <row r="406" spans="1:4" ht="14.95" thickBot="1" x14ac:dyDescent="0.35">
      <c r="A406" s="7"/>
      <c r="B406" s="7"/>
      <c r="C406" s="7"/>
      <c r="D406" s="7"/>
    </row>
    <row r="407" spans="1:4" ht="14.95" thickBot="1" x14ac:dyDescent="0.35">
      <c r="A407" s="7"/>
      <c r="B407" s="7"/>
      <c r="C407" s="7"/>
      <c r="D407" s="7"/>
    </row>
    <row r="408" spans="1:4" ht="14.95" thickBot="1" x14ac:dyDescent="0.35">
      <c r="A408" s="7"/>
      <c r="B408" s="7"/>
      <c r="C408" s="7"/>
      <c r="D408" s="7"/>
    </row>
    <row r="409" spans="1:4" ht="14.95" thickBot="1" x14ac:dyDescent="0.35">
      <c r="A409" s="7"/>
      <c r="B409" s="7"/>
      <c r="C409" s="7"/>
      <c r="D409" s="7"/>
    </row>
    <row r="410" spans="1:4" ht="14.95" thickBot="1" x14ac:dyDescent="0.35">
      <c r="A410" s="7"/>
      <c r="B410" s="7"/>
      <c r="C410" s="7"/>
      <c r="D410" s="7"/>
    </row>
    <row r="411" spans="1:4" ht="14.95" thickBot="1" x14ac:dyDescent="0.35">
      <c r="A411" s="7"/>
      <c r="B411" s="7"/>
      <c r="C411" s="7"/>
      <c r="D411" s="7"/>
    </row>
    <row r="412" spans="1:4" ht="14.95" thickBot="1" x14ac:dyDescent="0.35">
      <c r="A412" s="7"/>
      <c r="B412" s="7"/>
      <c r="C412" s="7"/>
      <c r="D412" s="7"/>
    </row>
    <row r="413" spans="1:4" ht="14.95" thickBot="1" x14ac:dyDescent="0.35">
      <c r="A413" s="7"/>
      <c r="B413" s="7"/>
      <c r="C413" s="7"/>
      <c r="D413" s="7"/>
    </row>
    <row r="414" spans="1:4" ht="14.95" thickBot="1" x14ac:dyDescent="0.35">
      <c r="A414" s="7"/>
      <c r="B414" s="7"/>
      <c r="C414" s="7"/>
      <c r="D414" s="7"/>
    </row>
    <row r="415" spans="1:4" ht="14.95" thickBot="1" x14ac:dyDescent="0.35">
      <c r="A415" s="7"/>
      <c r="B415" s="7"/>
      <c r="C415" s="7"/>
      <c r="D415" s="7"/>
    </row>
    <row r="416" spans="1:4" ht="14.95" thickBot="1" x14ac:dyDescent="0.35">
      <c r="A416" s="7"/>
      <c r="B416" s="7"/>
      <c r="C416" s="7"/>
      <c r="D416" s="7"/>
    </row>
    <row r="417" spans="1:4" ht="14.95" thickBot="1" x14ac:dyDescent="0.35">
      <c r="A417" s="7"/>
      <c r="B417" s="7"/>
      <c r="C417" s="7"/>
      <c r="D417" s="7"/>
    </row>
    <row r="418" spans="1:4" ht="14.95" thickBot="1" x14ac:dyDescent="0.35">
      <c r="A418" s="7"/>
      <c r="B418" s="7"/>
      <c r="C418" s="7"/>
      <c r="D418" s="7"/>
    </row>
    <row r="419" spans="1:4" ht="14.95" thickBot="1" x14ac:dyDescent="0.35">
      <c r="A419" s="7"/>
      <c r="B419" s="7"/>
      <c r="C419" s="7"/>
      <c r="D419" s="7"/>
    </row>
    <row r="420" spans="1:4" ht="14.95" thickBot="1" x14ac:dyDescent="0.35">
      <c r="A420" s="7"/>
      <c r="B420" s="7"/>
      <c r="C420" s="7"/>
      <c r="D420" s="7"/>
    </row>
    <row r="421" spans="1:4" ht="14.95" thickBot="1" x14ac:dyDescent="0.35">
      <c r="A421" s="7"/>
      <c r="B421" s="7"/>
      <c r="C421" s="7"/>
      <c r="D421" s="7"/>
    </row>
    <row r="422" spans="1:4" ht="14.95" thickBot="1" x14ac:dyDescent="0.35">
      <c r="A422" s="7"/>
      <c r="B422" s="7"/>
      <c r="C422" s="7"/>
      <c r="D422" s="7"/>
    </row>
    <row r="423" spans="1:4" ht="14.95" thickBot="1" x14ac:dyDescent="0.35">
      <c r="A423" s="7"/>
      <c r="B423" s="7"/>
      <c r="C423" s="7"/>
      <c r="D423" s="7"/>
    </row>
    <row r="424" spans="1:4" ht="14.95" thickBot="1" x14ac:dyDescent="0.35">
      <c r="A424" s="7"/>
      <c r="B424" s="7"/>
      <c r="C424" s="7"/>
      <c r="D424" s="7"/>
    </row>
    <row r="425" spans="1:4" ht="14.95" thickBot="1" x14ac:dyDescent="0.35">
      <c r="A425" s="7"/>
      <c r="B425" s="7"/>
      <c r="C425" s="7"/>
      <c r="D425" s="7"/>
    </row>
    <row r="426" spans="1:4" ht="14.95" thickBot="1" x14ac:dyDescent="0.35">
      <c r="A426" s="7"/>
      <c r="B426" s="7"/>
      <c r="C426" s="7"/>
      <c r="D426" s="7"/>
    </row>
    <row r="427" spans="1:4" ht="14.95" thickBot="1" x14ac:dyDescent="0.35">
      <c r="A427" s="7"/>
      <c r="B427" s="7"/>
      <c r="C427" s="7"/>
      <c r="D427" s="7"/>
    </row>
    <row r="428" spans="1:4" ht="14.95" thickBot="1" x14ac:dyDescent="0.35">
      <c r="A428" s="7"/>
      <c r="B428" s="7"/>
      <c r="C428" s="7"/>
      <c r="D428" s="7"/>
    </row>
    <row r="429" spans="1:4" ht="14.95" thickBot="1" x14ac:dyDescent="0.35">
      <c r="A429" s="7"/>
      <c r="B429" s="7"/>
      <c r="C429" s="7"/>
      <c r="D429" s="7"/>
    </row>
    <row r="430" spans="1:4" ht="14.95" thickBot="1" x14ac:dyDescent="0.35">
      <c r="A430" s="7"/>
      <c r="B430" s="7"/>
      <c r="C430" s="7"/>
      <c r="D430" s="7"/>
    </row>
    <row r="431" spans="1:4" ht="14.95" thickBot="1" x14ac:dyDescent="0.35">
      <c r="A431" s="7"/>
      <c r="B431" s="7"/>
      <c r="C431" s="7"/>
      <c r="D431" s="7"/>
    </row>
    <row r="432" spans="1:4" ht="14.95" thickBot="1" x14ac:dyDescent="0.35">
      <c r="A432" s="7"/>
      <c r="B432" s="7"/>
      <c r="C432" s="7"/>
      <c r="D432" s="7"/>
    </row>
    <row r="433" spans="1:4" ht="14.95" thickBot="1" x14ac:dyDescent="0.35">
      <c r="A433" s="7"/>
      <c r="B433" s="7"/>
      <c r="C433" s="7"/>
      <c r="D433" s="7"/>
    </row>
    <row r="434" spans="1:4" ht="14.95" thickBot="1" x14ac:dyDescent="0.35">
      <c r="A434" s="7"/>
      <c r="B434" s="7"/>
      <c r="C434" s="7"/>
      <c r="D434" s="7"/>
    </row>
    <row r="435" spans="1:4" ht="14.95" thickBot="1" x14ac:dyDescent="0.35">
      <c r="A435" s="7"/>
      <c r="B435" s="7"/>
      <c r="C435" s="7"/>
      <c r="D435" s="7"/>
    </row>
    <row r="436" spans="1:4" ht="14.95" thickBot="1" x14ac:dyDescent="0.35">
      <c r="A436" s="7"/>
      <c r="B436" s="7"/>
      <c r="C436" s="7"/>
      <c r="D436" s="7"/>
    </row>
    <row r="437" spans="1:4" ht="14.95" thickBot="1" x14ac:dyDescent="0.35">
      <c r="A437" s="7"/>
      <c r="B437" s="7"/>
      <c r="C437" s="7"/>
      <c r="D437" s="7"/>
    </row>
    <row r="438" spans="1:4" ht="14.95" thickBot="1" x14ac:dyDescent="0.35">
      <c r="A438" s="7"/>
      <c r="B438" s="7"/>
      <c r="C438" s="7"/>
      <c r="D438" s="7"/>
    </row>
    <row r="439" spans="1:4" ht="14.95" thickBot="1" x14ac:dyDescent="0.35">
      <c r="A439" s="7"/>
      <c r="B439" s="7"/>
      <c r="C439" s="7"/>
      <c r="D439" s="7"/>
    </row>
    <row r="440" spans="1:4" ht="14.95" thickBot="1" x14ac:dyDescent="0.35">
      <c r="A440" s="7"/>
      <c r="B440" s="7"/>
      <c r="C440" s="7"/>
      <c r="D440" s="7"/>
    </row>
    <row r="441" spans="1:4" ht="14.95" thickBot="1" x14ac:dyDescent="0.35">
      <c r="A441" s="7"/>
      <c r="B441" s="7"/>
      <c r="C441" s="7"/>
      <c r="D441" s="7"/>
    </row>
    <row r="442" spans="1:4" ht="14.95" thickBot="1" x14ac:dyDescent="0.35">
      <c r="A442" s="7"/>
      <c r="B442" s="7"/>
      <c r="C442" s="7"/>
      <c r="D442" s="7"/>
    </row>
    <row r="443" spans="1:4" ht="14.95" thickBot="1" x14ac:dyDescent="0.35">
      <c r="A443" s="7"/>
      <c r="B443" s="7"/>
      <c r="C443" s="7"/>
      <c r="D443" s="7"/>
    </row>
    <row r="444" spans="1:4" ht="14.95" thickBot="1" x14ac:dyDescent="0.35">
      <c r="A444" s="7"/>
      <c r="B444" s="7"/>
      <c r="C444" s="7"/>
      <c r="D444" s="7"/>
    </row>
    <row r="445" spans="1:4" ht="14.95" thickBot="1" x14ac:dyDescent="0.35">
      <c r="A445" s="7"/>
      <c r="B445" s="7"/>
      <c r="C445" s="7"/>
      <c r="D445" s="7"/>
    </row>
    <row r="446" spans="1:4" ht="14.95" thickBot="1" x14ac:dyDescent="0.35">
      <c r="A446" s="7"/>
      <c r="B446" s="7"/>
      <c r="C446" s="7"/>
      <c r="D446" s="7"/>
    </row>
    <row r="447" spans="1:4" ht="14.95" thickBot="1" x14ac:dyDescent="0.35">
      <c r="A447" s="7"/>
      <c r="B447" s="7"/>
      <c r="C447" s="7"/>
      <c r="D447" s="7"/>
    </row>
    <row r="448" spans="1:4" ht="14.95" thickBot="1" x14ac:dyDescent="0.35">
      <c r="A448" s="7"/>
      <c r="B448" s="7"/>
      <c r="C448" s="7"/>
      <c r="D448" s="7"/>
    </row>
    <row r="449" spans="1:4" ht="14.95" thickBot="1" x14ac:dyDescent="0.35">
      <c r="A449" s="7"/>
      <c r="B449" s="7"/>
      <c r="C449" s="7"/>
      <c r="D449" s="7"/>
    </row>
    <row r="450" spans="1:4" ht="14.95" thickBot="1" x14ac:dyDescent="0.35">
      <c r="A450" s="7"/>
      <c r="B450" s="7"/>
      <c r="C450" s="7"/>
      <c r="D450" s="7"/>
    </row>
    <row r="451" spans="1:4" ht="14.95" thickBot="1" x14ac:dyDescent="0.35">
      <c r="A451" s="7"/>
      <c r="B451" s="7"/>
      <c r="C451" s="7"/>
      <c r="D451" s="7"/>
    </row>
    <row r="452" spans="1:4" ht="14.95" thickBot="1" x14ac:dyDescent="0.35">
      <c r="A452" s="7"/>
      <c r="B452" s="7"/>
      <c r="C452" s="7"/>
      <c r="D452" s="7"/>
    </row>
    <row r="453" spans="1:4" ht="14.95" thickBot="1" x14ac:dyDescent="0.35">
      <c r="A453" s="7"/>
      <c r="B453" s="7"/>
      <c r="C453" s="7"/>
      <c r="D453" s="7"/>
    </row>
    <row r="454" spans="1:4" ht="14.95" thickBot="1" x14ac:dyDescent="0.35">
      <c r="A454" s="7"/>
      <c r="B454" s="7"/>
      <c r="C454" s="7"/>
      <c r="D454" s="7"/>
    </row>
    <row r="455" spans="1:4" ht="14.95" thickBot="1" x14ac:dyDescent="0.35">
      <c r="A455" s="7"/>
      <c r="B455" s="7"/>
      <c r="C455" s="7"/>
      <c r="D455" s="7"/>
    </row>
    <row r="456" spans="1:4" ht="14.95" thickBot="1" x14ac:dyDescent="0.35">
      <c r="A456" s="7"/>
      <c r="B456" s="7"/>
      <c r="C456" s="7"/>
      <c r="D456" s="7"/>
    </row>
    <row r="457" spans="1:4" ht="14.95" thickBot="1" x14ac:dyDescent="0.35">
      <c r="A457" s="7"/>
      <c r="B457" s="7"/>
      <c r="C457" s="7"/>
      <c r="D457" s="7"/>
    </row>
    <row r="458" spans="1:4" ht="14.95" thickBot="1" x14ac:dyDescent="0.35">
      <c r="A458" s="7"/>
      <c r="B458" s="7"/>
      <c r="C458" s="7"/>
      <c r="D458" s="7"/>
    </row>
    <row r="459" spans="1:4" ht="14.95" thickBot="1" x14ac:dyDescent="0.35">
      <c r="A459" s="7"/>
      <c r="B459" s="7"/>
      <c r="C459" s="7"/>
      <c r="D459" s="7"/>
    </row>
    <row r="460" spans="1:4" ht="14.95" thickBot="1" x14ac:dyDescent="0.35">
      <c r="A460" s="7"/>
      <c r="B460" s="7"/>
      <c r="C460" s="7"/>
      <c r="D460" s="7"/>
    </row>
    <row r="461" spans="1:4" ht="14.95" thickBot="1" x14ac:dyDescent="0.35">
      <c r="A461" s="7"/>
      <c r="B461" s="7"/>
      <c r="C461" s="7"/>
      <c r="D461" s="7"/>
    </row>
    <row r="462" spans="1:4" ht="14.95" thickBot="1" x14ac:dyDescent="0.35">
      <c r="A462" s="7"/>
      <c r="B462" s="7"/>
      <c r="C462" s="7"/>
      <c r="D462" s="7"/>
    </row>
    <row r="463" spans="1:4" ht="14.95" thickBot="1" x14ac:dyDescent="0.35">
      <c r="A463" s="7"/>
      <c r="B463" s="7"/>
      <c r="C463" s="7"/>
      <c r="D463" s="7"/>
    </row>
    <row r="464" spans="1:4" ht="14.95" thickBot="1" x14ac:dyDescent="0.35">
      <c r="A464" s="7"/>
      <c r="B464" s="7"/>
      <c r="C464" s="7"/>
      <c r="D464" s="7"/>
    </row>
    <row r="465" spans="1:4" ht="14.95" thickBot="1" x14ac:dyDescent="0.35">
      <c r="A465" s="7"/>
      <c r="B465" s="7"/>
      <c r="C465" s="7"/>
      <c r="D465" s="7"/>
    </row>
    <row r="466" spans="1:4" ht="14.95" thickBot="1" x14ac:dyDescent="0.35">
      <c r="A466" s="7"/>
      <c r="B466" s="7"/>
      <c r="C466" s="7"/>
      <c r="D466" s="7"/>
    </row>
    <row r="467" spans="1:4" ht="14.95" thickBot="1" x14ac:dyDescent="0.35">
      <c r="A467" s="7"/>
      <c r="B467" s="7"/>
      <c r="C467" s="7"/>
      <c r="D467" s="7"/>
    </row>
    <row r="468" spans="1:4" ht="14.95" thickBot="1" x14ac:dyDescent="0.35">
      <c r="A468" s="7"/>
      <c r="B468" s="7"/>
      <c r="C468" s="7"/>
      <c r="D468" s="7"/>
    </row>
    <row r="469" spans="1:4" ht="14.95" thickBot="1" x14ac:dyDescent="0.35">
      <c r="A469" s="7"/>
      <c r="B469" s="7"/>
      <c r="C469" s="7"/>
      <c r="D469" s="7"/>
    </row>
    <row r="470" spans="1:4" ht="14.95" thickBot="1" x14ac:dyDescent="0.35">
      <c r="A470" s="7"/>
      <c r="B470" s="7"/>
      <c r="C470" s="7"/>
      <c r="D470" s="7"/>
    </row>
    <row r="471" spans="1:4" ht="14.95" thickBot="1" x14ac:dyDescent="0.35">
      <c r="A471" s="7"/>
      <c r="B471" s="7"/>
      <c r="C471" s="7"/>
      <c r="D471" s="7"/>
    </row>
    <row r="472" spans="1:4" ht="14.95" thickBot="1" x14ac:dyDescent="0.35">
      <c r="A472" s="7"/>
      <c r="B472" s="7"/>
      <c r="C472" s="7"/>
      <c r="D472" s="7"/>
    </row>
    <row r="473" spans="1:4" ht="14.95" thickBot="1" x14ac:dyDescent="0.35">
      <c r="A473" s="7"/>
      <c r="B473" s="7"/>
      <c r="C473" s="7"/>
      <c r="D473" s="7"/>
    </row>
    <row r="474" spans="1:4" ht="14.95" thickBot="1" x14ac:dyDescent="0.35">
      <c r="A474" s="7"/>
      <c r="B474" s="7"/>
      <c r="C474" s="7"/>
      <c r="D474" s="7"/>
    </row>
    <row r="475" spans="1:4" ht="14.95" thickBot="1" x14ac:dyDescent="0.35">
      <c r="A475" s="7"/>
      <c r="B475" s="7"/>
      <c r="C475" s="7"/>
      <c r="D475" s="7"/>
    </row>
    <row r="476" spans="1:4" ht="14.95" thickBot="1" x14ac:dyDescent="0.35">
      <c r="A476" s="7"/>
      <c r="B476" s="7"/>
      <c r="C476" s="7"/>
      <c r="D476" s="7"/>
    </row>
    <row r="477" spans="1:4" ht="14.95" thickBot="1" x14ac:dyDescent="0.35">
      <c r="A477" s="7"/>
      <c r="B477" s="7"/>
      <c r="C477" s="7"/>
      <c r="D477" s="7"/>
    </row>
    <row r="478" spans="1:4" ht="14.95" thickBot="1" x14ac:dyDescent="0.35">
      <c r="A478" s="7"/>
      <c r="B478" s="7"/>
      <c r="C478" s="7"/>
      <c r="D478" s="7"/>
    </row>
    <row r="479" spans="1:4" ht="14.95" thickBot="1" x14ac:dyDescent="0.35">
      <c r="A479" s="7"/>
      <c r="B479" s="7"/>
      <c r="C479" s="7"/>
      <c r="D479" s="7"/>
    </row>
    <row r="480" spans="1:4" ht="14.95" thickBot="1" x14ac:dyDescent="0.35">
      <c r="A480" s="7"/>
      <c r="B480" s="7"/>
      <c r="C480" s="7"/>
      <c r="D480" s="7"/>
    </row>
    <row r="481" spans="1:4" ht="14.95" thickBot="1" x14ac:dyDescent="0.35">
      <c r="A481" s="7"/>
      <c r="B481" s="7"/>
      <c r="C481" s="7"/>
      <c r="D481" s="7"/>
    </row>
    <row r="482" spans="1:4" ht="14.95" thickBot="1" x14ac:dyDescent="0.35">
      <c r="A482" s="7"/>
      <c r="B482" s="7"/>
      <c r="C482" s="7"/>
      <c r="D482" s="7"/>
    </row>
    <row r="483" spans="1:4" ht="14.95" thickBot="1" x14ac:dyDescent="0.35">
      <c r="A483" s="7"/>
      <c r="B483" s="7"/>
      <c r="C483" s="7"/>
      <c r="D483" s="7"/>
    </row>
    <row r="484" spans="1:4" ht="14.95" thickBot="1" x14ac:dyDescent="0.35">
      <c r="A484" s="7"/>
      <c r="B484" s="7"/>
      <c r="C484" s="7"/>
      <c r="D484" s="7"/>
    </row>
    <row r="485" spans="1:4" ht="14.95" thickBot="1" x14ac:dyDescent="0.35">
      <c r="A485" s="7"/>
      <c r="B485" s="7"/>
      <c r="C485" s="7"/>
      <c r="D485" s="7"/>
    </row>
    <row r="486" spans="1:4" ht="14.95" thickBot="1" x14ac:dyDescent="0.35">
      <c r="A486" s="7"/>
      <c r="B486" s="7"/>
      <c r="C486" s="7"/>
      <c r="D486" s="7"/>
    </row>
    <row r="487" spans="1:4" ht="14.95" thickBot="1" x14ac:dyDescent="0.35">
      <c r="A487" s="7"/>
      <c r="B487" s="7"/>
      <c r="C487" s="7"/>
      <c r="D487" s="7"/>
    </row>
    <row r="488" spans="1:4" ht="14.95" thickBot="1" x14ac:dyDescent="0.35">
      <c r="A488" s="7"/>
      <c r="B488" s="7"/>
      <c r="C488" s="7"/>
      <c r="D488" s="7"/>
    </row>
    <row r="489" spans="1:4" ht="14.95" thickBot="1" x14ac:dyDescent="0.35">
      <c r="A489" s="7"/>
      <c r="B489" s="7"/>
      <c r="C489" s="7"/>
      <c r="D489" s="7"/>
    </row>
    <row r="490" spans="1:4" ht="14.95" thickBot="1" x14ac:dyDescent="0.35">
      <c r="A490" s="7"/>
      <c r="B490" s="7"/>
      <c r="C490" s="7"/>
      <c r="D490" s="7"/>
    </row>
    <row r="491" spans="1:4" ht="14.95" thickBot="1" x14ac:dyDescent="0.35">
      <c r="A491" s="7"/>
      <c r="B491" s="7"/>
      <c r="C491" s="7"/>
      <c r="D491" s="7"/>
    </row>
    <row r="492" spans="1:4" ht="14.95" thickBot="1" x14ac:dyDescent="0.35">
      <c r="A492" s="7"/>
      <c r="B492" s="7"/>
      <c r="C492" s="7"/>
      <c r="D492" s="7"/>
    </row>
    <row r="493" spans="1:4" ht="14.95" thickBot="1" x14ac:dyDescent="0.35">
      <c r="A493" s="7"/>
      <c r="B493" s="7"/>
      <c r="C493" s="7"/>
      <c r="D493" s="7"/>
    </row>
    <row r="494" spans="1:4" ht="14.95" thickBot="1" x14ac:dyDescent="0.35">
      <c r="A494" s="7"/>
      <c r="B494" s="7"/>
      <c r="C494" s="7"/>
      <c r="D494" s="7"/>
    </row>
    <row r="495" spans="1:4" ht="14.95" thickBot="1" x14ac:dyDescent="0.35">
      <c r="A495" s="7"/>
      <c r="B495" s="7"/>
      <c r="C495" s="7"/>
      <c r="D495" s="7"/>
    </row>
    <row r="496" spans="1:4" ht="14.95" thickBot="1" x14ac:dyDescent="0.35">
      <c r="A496" s="7"/>
      <c r="B496" s="7"/>
      <c r="C496" s="7"/>
      <c r="D496" s="7"/>
    </row>
    <row r="497" spans="1:4" ht="14.95" thickBot="1" x14ac:dyDescent="0.35">
      <c r="A497" s="7"/>
      <c r="B497" s="7"/>
      <c r="C497" s="7"/>
      <c r="D497" s="7"/>
    </row>
    <row r="498" spans="1:4" ht="14.95" thickBot="1" x14ac:dyDescent="0.35">
      <c r="A498" s="7"/>
      <c r="B498" s="7"/>
      <c r="C498" s="7"/>
      <c r="D498" s="7"/>
    </row>
    <row r="499" spans="1:4" ht="14.95" thickBot="1" x14ac:dyDescent="0.35">
      <c r="A499" s="7"/>
      <c r="B499" s="7"/>
      <c r="C499" s="7"/>
      <c r="D499" s="7"/>
    </row>
    <row r="500" spans="1:4" ht="14.95" thickBot="1" x14ac:dyDescent="0.35">
      <c r="A500" s="7"/>
      <c r="B500" s="7"/>
      <c r="C500" s="7"/>
      <c r="D500" s="7"/>
    </row>
    <row r="501" spans="1:4" ht="14.95" thickBot="1" x14ac:dyDescent="0.35">
      <c r="A501" s="7"/>
      <c r="B501" s="7"/>
      <c r="C501" s="7"/>
      <c r="D501" s="7"/>
    </row>
    <row r="502" spans="1:4" ht="14.95" thickBot="1" x14ac:dyDescent="0.35">
      <c r="A502" s="7"/>
      <c r="B502" s="7"/>
      <c r="C502" s="7"/>
      <c r="D502" s="7"/>
    </row>
    <row r="503" spans="1:4" ht="14.95" thickBot="1" x14ac:dyDescent="0.35">
      <c r="A503" s="7"/>
      <c r="B503" s="7"/>
      <c r="C503" s="7"/>
      <c r="D503" s="7"/>
    </row>
    <row r="504" spans="1:4" ht="14.95" thickBot="1" x14ac:dyDescent="0.35">
      <c r="A504" s="7"/>
      <c r="B504" s="7"/>
      <c r="C504" s="7"/>
      <c r="D504" s="7"/>
    </row>
    <row r="505" spans="1:4" ht="14.95" thickBot="1" x14ac:dyDescent="0.35">
      <c r="A505" s="7"/>
      <c r="B505" s="7"/>
      <c r="C505" s="7"/>
      <c r="D505" s="7"/>
    </row>
    <row r="506" spans="1:4" ht="14.95" thickBot="1" x14ac:dyDescent="0.35">
      <c r="A506" s="7"/>
      <c r="B506" s="7"/>
      <c r="C506" s="7"/>
      <c r="D506" s="7"/>
    </row>
    <row r="507" spans="1:4" ht="14.95" thickBot="1" x14ac:dyDescent="0.35">
      <c r="A507" s="7"/>
      <c r="B507" s="7"/>
      <c r="C507" s="7"/>
      <c r="D507" s="7"/>
    </row>
    <row r="508" spans="1:4" ht="14.95" thickBot="1" x14ac:dyDescent="0.35">
      <c r="A508" s="7"/>
      <c r="B508" s="7"/>
      <c r="C508" s="7"/>
      <c r="D508" s="7"/>
    </row>
    <row r="509" spans="1:4" ht="14.95" thickBot="1" x14ac:dyDescent="0.35">
      <c r="A509" s="7"/>
      <c r="B509" s="7"/>
      <c r="C509" s="7"/>
      <c r="D509" s="7"/>
    </row>
    <row r="510" spans="1:4" ht="14.95" thickBot="1" x14ac:dyDescent="0.35">
      <c r="A510" s="7"/>
      <c r="B510" s="7"/>
      <c r="C510" s="7"/>
      <c r="D510" s="7"/>
    </row>
    <row r="511" spans="1:4" ht="14.95" thickBot="1" x14ac:dyDescent="0.35">
      <c r="A511" s="7"/>
      <c r="B511" s="7"/>
      <c r="C511" s="7"/>
      <c r="D511" s="7"/>
    </row>
    <row r="512" spans="1:4" ht="14.95" thickBot="1" x14ac:dyDescent="0.35">
      <c r="A512" s="7"/>
      <c r="B512" s="7"/>
      <c r="C512" s="7"/>
      <c r="D512" s="7"/>
    </row>
    <row r="513" spans="1:4" ht="14.95" thickBot="1" x14ac:dyDescent="0.35">
      <c r="A513" s="7"/>
      <c r="B513" s="7"/>
      <c r="C513" s="7"/>
      <c r="D513" s="7"/>
    </row>
    <row r="514" spans="1:4" ht="14.95" thickBot="1" x14ac:dyDescent="0.35">
      <c r="A514" s="7"/>
      <c r="B514" s="7"/>
      <c r="C514" s="7"/>
      <c r="D514" s="7"/>
    </row>
    <row r="515" spans="1:4" ht="14.95" thickBot="1" x14ac:dyDescent="0.35">
      <c r="A515" s="7"/>
      <c r="B515" s="7"/>
      <c r="C515" s="7"/>
      <c r="D515" s="7"/>
    </row>
    <row r="516" spans="1:4" ht="14.95" thickBot="1" x14ac:dyDescent="0.35">
      <c r="A516" s="7"/>
      <c r="B516" s="7"/>
      <c r="C516" s="7"/>
      <c r="D516" s="7"/>
    </row>
    <row r="517" spans="1:4" ht="14.95" thickBot="1" x14ac:dyDescent="0.35">
      <c r="A517" s="7"/>
      <c r="B517" s="7"/>
      <c r="C517" s="7"/>
      <c r="D517" s="7"/>
    </row>
    <row r="518" spans="1:4" ht="14.95" thickBot="1" x14ac:dyDescent="0.35">
      <c r="A518" s="7"/>
      <c r="B518" s="7"/>
      <c r="C518" s="7"/>
      <c r="D518" s="7"/>
    </row>
    <row r="519" spans="1:4" ht="14.95" thickBot="1" x14ac:dyDescent="0.35">
      <c r="A519" s="7"/>
      <c r="B519" s="7"/>
      <c r="C519" s="7"/>
      <c r="D519" s="7"/>
    </row>
    <row r="520" spans="1:4" ht="14.95" thickBot="1" x14ac:dyDescent="0.35">
      <c r="A520" s="7"/>
      <c r="B520" s="7"/>
      <c r="C520" s="7"/>
      <c r="D520" s="7"/>
    </row>
    <row r="521" spans="1:4" ht="14.95" thickBot="1" x14ac:dyDescent="0.35">
      <c r="A521" s="7"/>
      <c r="B521" s="7"/>
      <c r="C521" s="7"/>
      <c r="D521" s="7"/>
    </row>
    <row r="522" spans="1:4" ht="14.95" thickBot="1" x14ac:dyDescent="0.35">
      <c r="A522" s="7"/>
      <c r="B522" s="7"/>
      <c r="C522" s="7"/>
      <c r="D522" s="7"/>
    </row>
    <row r="523" spans="1:4" ht="14.95" thickBot="1" x14ac:dyDescent="0.35">
      <c r="A523" s="7"/>
      <c r="B523" s="7"/>
      <c r="C523" s="7"/>
      <c r="D523" s="7"/>
    </row>
    <row r="524" spans="1:4" ht="14.95" thickBot="1" x14ac:dyDescent="0.35">
      <c r="A524" s="7"/>
      <c r="B524" s="7"/>
      <c r="C524" s="7"/>
      <c r="D524" s="7"/>
    </row>
    <row r="525" spans="1:4" ht="14.95" thickBot="1" x14ac:dyDescent="0.35">
      <c r="A525" s="7"/>
      <c r="B525" s="7"/>
      <c r="C525" s="7"/>
      <c r="D525" s="7"/>
    </row>
    <row r="526" spans="1:4" ht="14.95" thickBot="1" x14ac:dyDescent="0.35">
      <c r="A526" s="7"/>
      <c r="B526" s="7"/>
      <c r="C526" s="7"/>
      <c r="D526" s="7"/>
    </row>
    <row r="527" spans="1:4" ht="14.95" thickBot="1" x14ac:dyDescent="0.35">
      <c r="A527" s="7"/>
      <c r="B527" s="7"/>
      <c r="C527" s="7"/>
      <c r="D527" s="7"/>
    </row>
    <row r="528" spans="1:4" ht="14.95" thickBot="1" x14ac:dyDescent="0.35">
      <c r="A528" s="7"/>
      <c r="B528" s="7"/>
      <c r="C528" s="7"/>
      <c r="D528" s="7"/>
    </row>
    <row r="529" spans="1:4" ht="14.95" thickBot="1" x14ac:dyDescent="0.35">
      <c r="A529" s="7"/>
      <c r="B529" s="7"/>
      <c r="C529" s="7"/>
      <c r="D529" s="7"/>
    </row>
    <row r="530" spans="1:4" ht="14.95" thickBot="1" x14ac:dyDescent="0.35">
      <c r="A530" s="7"/>
      <c r="B530" s="7"/>
      <c r="C530" s="7"/>
      <c r="D530" s="7"/>
    </row>
    <row r="531" spans="1:4" ht="14.95" thickBot="1" x14ac:dyDescent="0.35">
      <c r="A531" s="7"/>
      <c r="B531" s="7"/>
      <c r="C531" s="7"/>
      <c r="D531" s="7"/>
    </row>
    <row r="532" spans="1:4" ht="14.95" thickBot="1" x14ac:dyDescent="0.35">
      <c r="A532" s="7"/>
      <c r="B532" s="7"/>
      <c r="C532" s="7"/>
      <c r="D532" s="7"/>
    </row>
    <row r="533" spans="1:4" ht="14.95" thickBot="1" x14ac:dyDescent="0.35">
      <c r="A533" s="7"/>
      <c r="B533" s="7"/>
      <c r="C533" s="7"/>
      <c r="D533" s="7"/>
    </row>
    <row r="534" spans="1:4" ht="14.95" thickBot="1" x14ac:dyDescent="0.35">
      <c r="A534" s="7"/>
      <c r="B534" s="7"/>
      <c r="C534" s="7"/>
      <c r="D534" s="7"/>
    </row>
    <row r="535" spans="1:4" ht="14.95" thickBot="1" x14ac:dyDescent="0.35">
      <c r="A535" s="7"/>
      <c r="B535" s="7"/>
      <c r="C535" s="7"/>
      <c r="D535" s="7"/>
    </row>
    <row r="536" spans="1:4" ht="14.95" thickBot="1" x14ac:dyDescent="0.35">
      <c r="A536" s="7"/>
      <c r="B536" s="7"/>
      <c r="C536" s="7"/>
      <c r="D536" s="7"/>
    </row>
    <row r="537" spans="1:4" ht="14.95" thickBot="1" x14ac:dyDescent="0.35">
      <c r="A537" s="7"/>
      <c r="B537" s="7"/>
      <c r="C537" s="7"/>
      <c r="D537" s="7"/>
    </row>
    <row r="538" spans="1:4" ht="14.95" thickBot="1" x14ac:dyDescent="0.35">
      <c r="A538" s="7"/>
      <c r="B538" s="7"/>
      <c r="C538" s="7"/>
      <c r="D538" s="7"/>
    </row>
    <row r="539" spans="1:4" ht="14.95" thickBot="1" x14ac:dyDescent="0.35">
      <c r="A539" s="7"/>
      <c r="B539" s="7"/>
      <c r="C539" s="7"/>
      <c r="D539" s="7"/>
    </row>
    <row r="540" spans="1:4" ht="14.95" thickBot="1" x14ac:dyDescent="0.35">
      <c r="A540" s="7"/>
      <c r="B540" s="7"/>
      <c r="C540" s="7"/>
      <c r="D540" s="7"/>
    </row>
    <row r="541" spans="1:4" ht="14.95" thickBot="1" x14ac:dyDescent="0.35">
      <c r="A541" s="7"/>
      <c r="B541" s="7"/>
      <c r="C541" s="7"/>
      <c r="D541" s="7"/>
    </row>
    <row r="542" spans="1:4" ht="14.95" thickBot="1" x14ac:dyDescent="0.35">
      <c r="A542" s="7"/>
      <c r="B542" s="7"/>
      <c r="C542" s="7"/>
      <c r="D542" s="7"/>
    </row>
    <row r="543" spans="1:4" ht="14.95" thickBot="1" x14ac:dyDescent="0.35">
      <c r="A543" s="7"/>
      <c r="B543" s="7"/>
      <c r="C543" s="7"/>
      <c r="D543" s="7"/>
    </row>
    <row r="544" spans="1:4" ht="14.95" thickBot="1" x14ac:dyDescent="0.35">
      <c r="A544" s="7"/>
      <c r="B544" s="7"/>
      <c r="C544" s="7"/>
      <c r="D544" s="7"/>
    </row>
    <row r="545" spans="1:4" ht="14.95" thickBot="1" x14ac:dyDescent="0.35">
      <c r="A545" s="7"/>
      <c r="B545" s="7"/>
      <c r="C545" s="7"/>
      <c r="D545" s="7"/>
    </row>
    <row r="546" spans="1:4" ht="14.95" thickBot="1" x14ac:dyDescent="0.35">
      <c r="A546" s="7"/>
      <c r="B546" s="7"/>
      <c r="C546" s="7"/>
      <c r="D546" s="7"/>
    </row>
    <row r="547" spans="1:4" ht="14.95" thickBot="1" x14ac:dyDescent="0.35">
      <c r="A547" s="7"/>
      <c r="B547" s="7"/>
      <c r="C547" s="7"/>
      <c r="D547" s="7"/>
    </row>
    <row r="548" spans="1:4" ht="14.95" thickBot="1" x14ac:dyDescent="0.35">
      <c r="A548" s="7"/>
      <c r="B548" s="7"/>
      <c r="C548" s="7"/>
      <c r="D548" s="7"/>
    </row>
    <row r="549" spans="1:4" ht="14.95" thickBot="1" x14ac:dyDescent="0.35">
      <c r="A549" s="7"/>
      <c r="B549" s="7"/>
      <c r="C549" s="7"/>
      <c r="D549" s="7"/>
    </row>
    <row r="550" spans="1:4" ht="14.95" thickBot="1" x14ac:dyDescent="0.35">
      <c r="A550" s="7"/>
      <c r="B550" s="7"/>
      <c r="C550" s="7"/>
      <c r="D550" s="7"/>
    </row>
    <row r="551" spans="1:4" ht="14.95" thickBot="1" x14ac:dyDescent="0.35">
      <c r="A551" s="7"/>
      <c r="B551" s="7"/>
      <c r="C551" s="7"/>
      <c r="D551" s="7"/>
    </row>
    <row r="552" spans="1:4" ht="14.95" thickBot="1" x14ac:dyDescent="0.35">
      <c r="A552" s="7"/>
      <c r="B552" s="7"/>
      <c r="C552" s="7"/>
      <c r="D552" s="7"/>
    </row>
    <row r="553" spans="1:4" ht="14.95" thickBot="1" x14ac:dyDescent="0.35">
      <c r="A553" s="7"/>
      <c r="B553" s="7"/>
      <c r="C553" s="7"/>
      <c r="D553" s="7"/>
    </row>
    <row r="554" spans="1:4" ht="14.95" thickBot="1" x14ac:dyDescent="0.35">
      <c r="A554" s="7"/>
      <c r="B554" s="7"/>
      <c r="C554" s="7"/>
      <c r="D554" s="7"/>
    </row>
    <row r="555" spans="1:4" ht="14.95" thickBot="1" x14ac:dyDescent="0.35">
      <c r="A555" s="7"/>
      <c r="B555" s="7"/>
      <c r="C555" s="7"/>
      <c r="D555" s="7"/>
    </row>
    <row r="556" spans="1:4" ht="14.95" thickBot="1" x14ac:dyDescent="0.35">
      <c r="A556" s="7"/>
      <c r="B556" s="7"/>
      <c r="C556" s="7"/>
      <c r="D556" s="7"/>
    </row>
    <row r="557" spans="1:4" ht="14.95" thickBot="1" x14ac:dyDescent="0.35">
      <c r="A557" s="7"/>
      <c r="B557" s="7"/>
      <c r="C557" s="7"/>
      <c r="D557" s="7"/>
    </row>
    <row r="558" spans="1:4" ht="14.95" thickBot="1" x14ac:dyDescent="0.35">
      <c r="A558" s="7"/>
      <c r="B558" s="7"/>
      <c r="C558" s="7"/>
      <c r="D558" s="7"/>
    </row>
    <row r="559" spans="1:4" ht="14.95" thickBot="1" x14ac:dyDescent="0.35">
      <c r="A559" s="7"/>
      <c r="B559" s="7"/>
      <c r="C559" s="7"/>
      <c r="D559" s="7"/>
    </row>
    <row r="560" spans="1:4" ht="14.95" thickBot="1" x14ac:dyDescent="0.35">
      <c r="A560" s="7"/>
      <c r="B560" s="7"/>
      <c r="C560" s="7"/>
      <c r="D560" s="7"/>
    </row>
    <row r="561" spans="1:4" ht="14.95" thickBot="1" x14ac:dyDescent="0.35">
      <c r="A561" s="7"/>
      <c r="B561" s="7"/>
      <c r="C561" s="7"/>
      <c r="D561" s="7"/>
    </row>
    <row r="562" spans="1:4" ht="14.95" thickBot="1" x14ac:dyDescent="0.35">
      <c r="A562" s="7"/>
      <c r="B562" s="7"/>
      <c r="C562" s="7"/>
      <c r="D562" s="7"/>
    </row>
    <row r="563" spans="1:4" ht="14.95" thickBot="1" x14ac:dyDescent="0.35">
      <c r="A563" s="7"/>
      <c r="B563" s="7"/>
      <c r="C563" s="7"/>
      <c r="D563" s="7"/>
    </row>
    <row r="564" spans="1:4" ht="14.95" thickBot="1" x14ac:dyDescent="0.35">
      <c r="A564" s="7"/>
      <c r="B564" s="7"/>
      <c r="C564" s="7"/>
      <c r="D564" s="7"/>
    </row>
    <row r="565" spans="1:4" ht="14.95" thickBot="1" x14ac:dyDescent="0.35">
      <c r="A565" s="7"/>
      <c r="B565" s="7"/>
      <c r="C565" s="7"/>
      <c r="D565" s="7"/>
    </row>
    <row r="566" spans="1:4" ht="14.95" thickBot="1" x14ac:dyDescent="0.35">
      <c r="A566" s="7"/>
      <c r="B566" s="7"/>
      <c r="C566" s="7"/>
      <c r="D566" s="7"/>
    </row>
    <row r="567" spans="1:4" ht="14.95" thickBot="1" x14ac:dyDescent="0.35">
      <c r="A567" s="7"/>
      <c r="B567" s="7"/>
      <c r="C567" s="7"/>
      <c r="D567" s="7"/>
    </row>
    <row r="568" spans="1:4" ht="14.95" thickBot="1" x14ac:dyDescent="0.35">
      <c r="A568" s="7"/>
      <c r="B568" s="7"/>
      <c r="C568" s="7"/>
      <c r="D568" s="7"/>
    </row>
    <row r="569" spans="1:4" ht="14.95" thickBot="1" x14ac:dyDescent="0.35">
      <c r="A569" s="7"/>
      <c r="B569" s="7"/>
      <c r="C569" s="7"/>
      <c r="D569" s="7"/>
    </row>
    <row r="570" spans="1:4" ht="14.95" thickBot="1" x14ac:dyDescent="0.35">
      <c r="A570" s="7"/>
      <c r="B570" s="7"/>
      <c r="C570" s="7"/>
      <c r="D570" s="7"/>
    </row>
    <row r="571" spans="1:4" ht="14.95" thickBot="1" x14ac:dyDescent="0.35">
      <c r="A571" s="7"/>
      <c r="B571" s="7"/>
      <c r="C571" s="7"/>
      <c r="D571" s="7"/>
    </row>
    <row r="572" spans="1:4" ht="14.95" thickBot="1" x14ac:dyDescent="0.35">
      <c r="A572" s="7"/>
      <c r="B572" s="7"/>
      <c r="C572" s="7"/>
      <c r="D572" s="7"/>
    </row>
    <row r="573" spans="1:4" ht="14.95" thickBot="1" x14ac:dyDescent="0.35">
      <c r="A573" s="7"/>
      <c r="B573" s="7"/>
      <c r="C573" s="7"/>
      <c r="D573" s="7"/>
    </row>
    <row r="574" spans="1:4" ht="14.95" thickBot="1" x14ac:dyDescent="0.35">
      <c r="A574" s="7"/>
      <c r="B574" s="7"/>
      <c r="C574" s="7"/>
      <c r="D574" s="7"/>
    </row>
    <row r="575" spans="1:4" ht="14.95" thickBot="1" x14ac:dyDescent="0.35">
      <c r="A575" s="7"/>
      <c r="B575" s="7"/>
      <c r="C575" s="7"/>
      <c r="D575" s="7"/>
    </row>
    <row r="576" spans="1:4" ht="14.95" thickBot="1" x14ac:dyDescent="0.35">
      <c r="A576" s="7"/>
      <c r="B576" s="7"/>
      <c r="C576" s="7"/>
      <c r="D576" s="7"/>
    </row>
    <row r="577" spans="1:4" ht="14.95" thickBot="1" x14ac:dyDescent="0.35">
      <c r="A577" s="7"/>
      <c r="B577" s="7"/>
      <c r="C577" s="7"/>
      <c r="D577" s="7"/>
    </row>
    <row r="578" spans="1:4" ht="14.95" thickBot="1" x14ac:dyDescent="0.35">
      <c r="A578" s="7"/>
      <c r="B578" s="7"/>
      <c r="C578" s="7"/>
      <c r="D578" s="7"/>
    </row>
    <row r="579" spans="1:4" ht="14.95" thickBot="1" x14ac:dyDescent="0.35">
      <c r="A579" s="7"/>
      <c r="B579" s="7"/>
      <c r="C579" s="7"/>
      <c r="D579" s="7"/>
    </row>
    <row r="580" spans="1:4" ht="14.95" thickBot="1" x14ac:dyDescent="0.35">
      <c r="A580" s="7"/>
      <c r="B580" s="7"/>
      <c r="C580" s="7"/>
      <c r="D580" s="7"/>
    </row>
    <row r="581" spans="1:4" ht="14.95" thickBot="1" x14ac:dyDescent="0.35">
      <c r="A581" s="7"/>
      <c r="B581" s="7"/>
      <c r="C581" s="7"/>
      <c r="D581" s="7"/>
    </row>
    <row r="582" spans="1:4" ht="14.95" thickBot="1" x14ac:dyDescent="0.35">
      <c r="A582" s="7"/>
      <c r="B582" s="7"/>
      <c r="C582" s="7"/>
      <c r="D582" s="7"/>
    </row>
    <row r="583" spans="1:4" ht="14.95" thickBot="1" x14ac:dyDescent="0.35">
      <c r="A583" s="7"/>
      <c r="B583" s="7"/>
      <c r="C583" s="7"/>
      <c r="D583" s="7"/>
    </row>
    <row r="584" spans="1:4" ht="14.95" thickBot="1" x14ac:dyDescent="0.35">
      <c r="A584" s="7"/>
      <c r="B584" s="7"/>
      <c r="C584" s="7"/>
      <c r="D584" s="7"/>
    </row>
    <row r="585" spans="1:4" ht="14.95" thickBot="1" x14ac:dyDescent="0.35">
      <c r="A585" s="7"/>
      <c r="B585" s="7"/>
      <c r="C585" s="7"/>
      <c r="D585" s="7"/>
    </row>
    <row r="586" spans="1:4" ht="14.95" thickBot="1" x14ac:dyDescent="0.35">
      <c r="A586" s="7"/>
      <c r="B586" s="7"/>
      <c r="C586" s="7"/>
      <c r="D586" s="7"/>
    </row>
    <row r="587" spans="1:4" ht="14.95" thickBot="1" x14ac:dyDescent="0.35">
      <c r="A587" s="7"/>
      <c r="B587" s="7"/>
      <c r="C587" s="7"/>
      <c r="D587" s="7"/>
    </row>
    <row r="588" spans="1:4" ht="14.95" thickBot="1" x14ac:dyDescent="0.35">
      <c r="A588" s="7"/>
      <c r="B588" s="7"/>
      <c r="C588" s="7"/>
      <c r="D588" s="7"/>
    </row>
    <row r="589" spans="1:4" ht="14.95" thickBot="1" x14ac:dyDescent="0.35">
      <c r="A589" s="7"/>
      <c r="B589" s="7"/>
      <c r="C589" s="7"/>
      <c r="D589" s="7"/>
    </row>
    <row r="590" spans="1:4" ht="14.95" thickBot="1" x14ac:dyDescent="0.35">
      <c r="A590" s="7"/>
      <c r="B590" s="7"/>
      <c r="C590" s="7"/>
      <c r="D590" s="7"/>
    </row>
    <row r="591" spans="1:4" ht="14.95" thickBot="1" x14ac:dyDescent="0.35">
      <c r="A591" s="7"/>
      <c r="B591" s="7"/>
      <c r="C591" s="7"/>
      <c r="D591" s="7"/>
    </row>
    <row r="592" spans="1:4" ht="14.95" thickBot="1" x14ac:dyDescent="0.35">
      <c r="A592" s="7"/>
      <c r="B592" s="7"/>
      <c r="C592" s="7"/>
      <c r="D592" s="7"/>
    </row>
    <row r="593" spans="1:4" ht="14.95" thickBot="1" x14ac:dyDescent="0.35">
      <c r="A593" s="7"/>
      <c r="B593" s="7"/>
      <c r="C593" s="7"/>
      <c r="D593" s="7"/>
    </row>
    <row r="594" spans="1:4" ht="14.95" thickBot="1" x14ac:dyDescent="0.35">
      <c r="A594" s="7"/>
      <c r="B594" s="7"/>
      <c r="C594" s="7"/>
      <c r="D594" s="7"/>
    </row>
    <row r="595" spans="1:4" ht="14.95" thickBot="1" x14ac:dyDescent="0.35">
      <c r="A595" s="7"/>
      <c r="B595" s="7"/>
      <c r="C595" s="7"/>
      <c r="D595" s="7"/>
    </row>
    <row r="596" spans="1:4" ht="14.95" thickBot="1" x14ac:dyDescent="0.35">
      <c r="A596" s="7"/>
      <c r="B596" s="7"/>
      <c r="C596" s="7"/>
      <c r="D596" s="7"/>
    </row>
    <row r="597" spans="1:4" ht="14.95" thickBot="1" x14ac:dyDescent="0.35">
      <c r="A597" s="7"/>
      <c r="B597" s="7"/>
      <c r="C597" s="7"/>
      <c r="D597" s="7"/>
    </row>
    <row r="598" spans="1:4" ht="14.95" thickBot="1" x14ac:dyDescent="0.35">
      <c r="A598" s="7"/>
      <c r="B598" s="7"/>
      <c r="C598" s="7"/>
      <c r="D598" s="7"/>
    </row>
    <row r="599" spans="1:4" ht="14.95" thickBot="1" x14ac:dyDescent="0.35">
      <c r="A599" s="7"/>
      <c r="B599" s="7"/>
      <c r="C599" s="7"/>
      <c r="D599" s="7"/>
    </row>
    <row r="600" spans="1:4" ht="14.95" thickBot="1" x14ac:dyDescent="0.35">
      <c r="A600" s="7"/>
      <c r="B600" s="7"/>
      <c r="C600" s="7"/>
      <c r="D600" s="7"/>
    </row>
    <row r="601" spans="1:4" ht="14.95" thickBot="1" x14ac:dyDescent="0.35">
      <c r="A601" s="7"/>
      <c r="B601" s="7"/>
      <c r="C601" s="7"/>
      <c r="D601" s="7"/>
    </row>
    <row r="602" spans="1:4" ht="14.95" thickBot="1" x14ac:dyDescent="0.35">
      <c r="A602" s="7"/>
      <c r="B602" s="7"/>
      <c r="C602" s="7"/>
      <c r="D602" s="7"/>
    </row>
    <row r="603" spans="1:4" ht="14.95" thickBot="1" x14ac:dyDescent="0.35">
      <c r="A603" s="7"/>
      <c r="B603" s="7"/>
      <c r="C603" s="7"/>
      <c r="D603" s="7"/>
    </row>
    <row r="604" spans="1:4" ht="14.95" thickBot="1" x14ac:dyDescent="0.35">
      <c r="A604" s="7"/>
      <c r="B604" s="7"/>
      <c r="C604" s="7"/>
      <c r="D604" s="7"/>
    </row>
    <row r="605" spans="1:4" ht="14.95" thickBot="1" x14ac:dyDescent="0.35">
      <c r="A605" s="7"/>
      <c r="B605" s="7"/>
      <c r="C605" s="7"/>
      <c r="D605" s="7"/>
    </row>
    <row r="606" spans="1:4" ht="14.95" thickBot="1" x14ac:dyDescent="0.35">
      <c r="A606" s="7"/>
      <c r="B606" s="7"/>
      <c r="C606" s="7"/>
      <c r="D606" s="7"/>
    </row>
    <row r="607" spans="1:4" ht="14.95" thickBot="1" x14ac:dyDescent="0.35">
      <c r="A607" s="7"/>
      <c r="B607" s="7"/>
      <c r="C607" s="7"/>
      <c r="D607" s="7"/>
    </row>
    <row r="608" spans="1:4" ht="14.95" thickBot="1" x14ac:dyDescent="0.35">
      <c r="A608" s="7"/>
      <c r="B608" s="7"/>
      <c r="C608" s="7"/>
      <c r="D608" s="7"/>
    </row>
    <row r="609" spans="1:4" ht="14.95" thickBot="1" x14ac:dyDescent="0.35">
      <c r="A609" s="7"/>
      <c r="B609" s="7"/>
      <c r="C609" s="7"/>
      <c r="D609" s="7"/>
    </row>
    <row r="610" spans="1:4" ht="14.95" thickBot="1" x14ac:dyDescent="0.35">
      <c r="A610" s="7"/>
      <c r="B610" s="7"/>
      <c r="C610" s="7"/>
      <c r="D610" s="7"/>
    </row>
    <row r="611" spans="1:4" ht="14.95" thickBot="1" x14ac:dyDescent="0.35">
      <c r="A611" s="7"/>
      <c r="B611" s="7"/>
      <c r="C611" s="7"/>
      <c r="D611" s="7"/>
    </row>
    <row r="612" spans="1:4" ht="14.95" thickBot="1" x14ac:dyDescent="0.35">
      <c r="A612" s="7"/>
      <c r="B612" s="7"/>
      <c r="C612" s="7"/>
      <c r="D612" s="7"/>
    </row>
    <row r="613" spans="1:4" ht="14.95" thickBot="1" x14ac:dyDescent="0.35">
      <c r="A613" s="7"/>
      <c r="B613" s="7"/>
      <c r="C613" s="7"/>
      <c r="D613" s="7"/>
    </row>
    <row r="614" spans="1:4" ht="14.95" thickBot="1" x14ac:dyDescent="0.35">
      <c r="A614" s="7"/>
      <c r="B614" s="7"/>
      <c r="C614" s="7"/>
      <c r="D614" s="7"/>
    </row>
    <row r="615" spans="1:4" ht="14.95" thickBot="1" x14ac:dyDescent="0.35">
      <c r="A615" s="7"/>
      <c r="B615" s="7"/>
      <c r="C615" s="7"/>
      <c r="D615" s="7"/>
    </row>
    <row r="616" spans="1:4" ht="14.95" thickBot="1" x14ac:dyDescent="0.35">
      <c r="A616" s="7"/>
      <c r="B616" s="7"/>
      <c r="C616" s="7"/>
      <c r="D616" s="7"/>
    </row>
    <row r="617" spans="1:4" ht="14.95" thickBot="1" x14ac:dyDescent="0.35">
      <c r="A617" s="7"/>
      <c r="B617" s="7"/>
      <c r="C617" s="7"/>
      <c r="D617" s="7"/>
    </row>
    <row r="618" spans="1:4" ht="14.95" thickBot="1" x14ac:dyDescent="0.35">
      <c r="A618" s="7"/>
      <c r="B618" s="7"/>
      <c r="C618" s="7"/>
      <c r="D618" s="7"/>
    </row>
    <row r="619" spans="1:4" ht="14.95" thickBot="1" x14ac:dyDescent="0.35">
      <c r="A619" s="7"/>
      <c r="B619" s="7"/>
      <c r="C619" s="7"/>
      <c r="D619" s="7"/>
    </row>
    <row r="620" spans="1:4" ht="14.95" thickBot="1" x14ac:dyDescent="0.35">
      <c r="A620" s="7"/>
      <c r="B620" s="7"/>
      <c r="C620" s="7"/>
      <c r="D620" s="7"/>
    </row>
    <row r="621" spans="1:4" ht="14.95" thickBot="1" x14ac:dyDescent="0.35">
      <c r="A621" s="7"/>
      <c r="B621" s="7"/>
      <c r="C621" s="7"/>
      <c r="D621" s="7"/>
    </row>
    <row r="622" spans="1:4" ht="14.95" thickBot="1" x14ac:dyDescent="0.35">
      <c r="A622" s="7"/>
      <c r="B622" s="7"/>
      <c r="C622" s="7"/>
      <c r="D622" s="7"/>
    </row>
    <row r="623" spans="1:4" ht="14.95" thickBot="1" x14ac:dyDescent="0.35">
      <c r="A623" s="7"/>
      <c r="B623" s="7"/>
      <c r="C623" s="7"/>
      <c r="D623" s="7"/>
    </row>
    <row r="624" spans="1:4" ht="14.95" thickBot="1" x14ac:dyDescent="0.35">
      <c r="A624" s="7"/>
      <c r="B624" s="7"/>
      <c r="C624" s="7"/>
      <c r="D624" s="7"/>
    </row>
    <row r="625" spans="1:4" ht="14.95" thickBot="1" x14ac:dyDescent="0.35">
      <c r="A625" s="7"/>
      <c r="B625" s="7"/>
      <c r="C625" s="7"/>
      <c r="D625" s="7"/>
    </row>
    <row r="626" spans="1:4" ht="14.95" thickBot="1" x14ac:dyDescent="0.35">
      <c r="A626" s="7"/>
      <c r="B626" s="7"/>
      <c r="C626" s="7"/>
      <c r="D626" s="7"/>
    </row>
    <row r="627" spans="1:4" ht="14.95" thickBot="1" x14ac:dyDescent="0.35">
      <c r="A627" s="7"/>
      <c r="B627" s="7"/>
      <c r="C627" s="7"/>
      <c r="D627" s="7"/>
    </row>
    <row r="628" spans="1:4" ht="14.95" thickBot="1" x14ac:dyDescent="0.35">
      <c r="A628" s="7"/>
      <c r="B628" s="7"/>
      <c r="C628" s="7"/>
      <c r="D628" s="7"/>
    </row>
    <row r="629" spans="1:4" ht="14.95" thickBot="1" x14ac:dyDescent="0.35">
      <c r="A629" s="7"/>
      <c r="B629" s="7"/>
      <c r="C629" s="7"/>
      <c r="D629" s="7"/>
    </row>
    <row r="630" spans="1:4" ht="14.95" thickBot="1" x14ac:dyDescent="0.35">
      <c r="A630" s="7"/>
      <c r="B630" s="7"/>
      <c r="C630" s="7"/>
      <c r="D630" s="7"/>
    </row>
    <row r="631" spans="1:4" ht="14.95" thickBot="1" x14ac:dyDescent="0.35">
      <c r="A631" s="7"/>
      <c r="B631" s="7"/>
      <c r="C631" s="7"/>
      <c r="D631" s="7"/>
    </row>
    <row r="632" spans="1:4" ht="14.95" thickBot="1" x14ac:dyDescent="0.35">
      <c r="A632" s="7"/>
      <c r="B632" s="7"/>
      <c r="C632" s="7"/>
      <c r="D632" s="7"/>
    </row>
    <row r="633" spans="1:4" ht="14.95" thickBot="1" x14ac:dyDescent="0.35">
      <c r="A633" s="7"/>
      <c r="B633" s="7"/>
      <c r="C633" s="7"/>
      <c r="D633" s="7"/>
    </row>
    <row r="634" spans="1:4" ht="14.95" thickBot="1" x14ac:dyDescent="0.35">
      <c r="A634" s="7"/>
      <c r="B634" s="7"/>
      <c r="C634" s="7"/>
      <c r="D634" s="7"/>
    </row>
    <row r="635" spans="1:4" ht="14.95" thickBot="1" x14ac:dyDescent="0.35">
      <c r="A635" s="7"/>
      <c r="B635" s="7"/>
      <c r="C635" s="7"/>
      <c r="D635" s="7"/>
    </row>
    <row r="636" spans="1:4" ht="14.95" thickBot="1" x14ac:dyDescent="0.35">
      <c r="A636" s="7"/>
      <c r="B636" s="7"/>
      <c r="C636" s="7"/>
      <c r="D636" s="7"/>
    </row>
    <row r="637" spans="1:4" ht="14.95" thickBot="1" x14ac:dyDescent="0.35">
      <c r="A637" s="7"/>
      <c r="B637" s="7"/>
      <c r="C637" s="7"/>
      <c r="D637" s="7"/>
    </row>
    <row r="638" spans="1:4" ht="14.95" thickBot="1" x14ac:dyDescent="0.35">
      <c r="A638" s="7"/>
      <c r="B638" s="7"/>
      <c r="C638" s="7"/>
      <c r="D638" s="7"/>
    </row>
    <row r="639" spans="1:4" ht="14.95" thickBot="1" x14ac:dyDescent="0.35">
      <c r="A639" s="7"/>
      <c r="B639" s="7"/>
      <c r="C639" s="7"/>
      <c r="D639" s="7"/>
    </row>
    <row r="640" spans="1:4" ht="14.95" thickBot="1" x14ac:dyDescent="0.35">
      <c r="A640" s="7"/>
      <c r="B640" s="7"/>
      <c r="C640" s="7"/>
      <c r="D640" s="7"/>
    </row>
    <row r="641" spans="1:4" ht="14.95" thickBot="1" x14ac:dyDescent="0.35">
      <c r="A641" s="7"/>
      <c r="B641" s="7"/>
      <c r="C641" s="7"/>
      <c r="D641" s="7"/>
    </row>
    <row r="642" spans="1:4" ht="14.95" thickBot="1" x14ac:dyDescent="0.35">
      <c r="A642" s="7"/>
      <c r="B642" s="7"/>
      <c r="C642" s="7"/>
      <c r="D642" s="7"/>
    </row>
    <row r="643" spans="1:4" ht="14.95" thickBot="1" x14ac:dyDescent="0.35">
      <c r="A643" s="7"/>
      <c r="B643" s="7"/>
      <c r="C643" s="7"/>
      <c r="D643" s="7"/>
    </row>
    <row r="644" spans="1:4" ht="14.95" thickBot="1" x14ac:dyDescent="0.35">
      <c r="A644" s="7"/>
      <c r="B644" s="7"/>
      <c r="C644" s="7"/>
      <c r="D644" s="7"/>
    </row>
    <row r="645" spans="1:4" ht="14.95" thickBot="1" x14ac:dyDescent="0.35">
      <c r="A645" s="7"/>
      <c r="B645" s="7"/>
      <c r="C645" s="7"/>
      <c r="D645" s="7"/>
    </row>
    <row r="646" spans="1:4" ht="14.95" thickBot="1" x14ac:dyDescent="0.35">
      <c r="A646" s="7"/>
      <c r="B646" s="7"/>
      <c r="C646" s="7"/>
      <c r="D646" s="7"/>
    </row>
    <row r="647" spans="1:4" ht="14.95" thickBot="1" x14ac:dyDescent="0.35">
      <c r="A647" s="7"/>
      <c r="B647" s="7"/>
      <c r="C647" s="7"/>
      <c r="D647" s="7"/>
    </row>
    <row r="648" spans="1:4" ht="14.95" thickBot="1" x14ac:dyDescent="0.35">
      <c r="A648" s="7"/>
      <c r="B648" s="7"/>
      <c r="C648" s="7"/>
      <c r="D648" s="7"/>
    </row>
    <row r="649" spans="1:4" ht="14.95" thickBot="1" x14ac:dyDescent="0.35">
      <c r="A649" s="7"/>
      <c r="B649" s="7"/>
      <c r="C649" s="7"/>
      <c r="D649" s="7"/>
    </row>
    <row r="650" spans="1:4" ht="14.95" thickBot="1" x14ac:dyDescent="0.35">
      <c r="A650" s="7"/>
      <c r="B650" s="7"/>
      <c r="C650" s="7"/>
      <c r="D650" s="7"/>
    </row>
    <row r="651" spans="1:4" ht="14.95" thickBot="1" x14ac:dyDescent="0.35">
      <c r="A651" s="7"/>
      <c r="B651" s="7"/>
      <c r="C651" s="7"/>
      <c r="D651" s="7"/>
    </row>
    <row r="652" spans="1:4" ht="14.95" thickBot="1" x14ac:dyDescent="0.35">
      <c r="A652" s="7"/>
      <c r="B652" s="7"/>
      <c r="C652" s="7"/>
      <c r="D652" s="7"/>
    </row>
    <row r="653" spans="1:4" ht="14.95" thickBot="1" x14ac:dyDescent="0.35">
      <c r="A653" s="7"/>
      <c r="B653" s="7"/>
      <c r="C653" s="7"/>
      <c r="D653" s="7"/>
    </row>
    <row r="654" spans="1:4" ht="14.95" thickBot="1" x14ac:dyDescent="0.35">
      <c r="A654" s="7"/>
      <c r="B654" s="7"/>
      <c r="C654" s="7"/>
      <c r="D654" s="7"/>
    </row>
    <row r="655" spans="1:4" ht="14.95" thickBot="1" x14ac:dyDescent="0.35">
      <c r="A655" s="7"/>
      <c r="B655" s="7"/>
      <c r="C655" s="7"/>
      <c r="D655" s="7"/>
    </row>
    <row r="656" spans="1:4" ht="14.95" thickBot="1" x14ac:dyDescent="0.35">
      <c r="A656" s="7"/>
      <c r="B656" s="7"/>
      <c r="C656" s="7"/>
      <c r="D656" s="7"/>
    </row>
    <row r="657" spans="1:4" ht="14.95" thickBot="1" x14ac:dyDescent="0.35">
      <c r="A657" s="7"/>
      <c r="B657" s="7"/>
      <c r="C657" s="7"/>
      <c r="D657" s="7"/>
    </row>
    <row r="658" spans="1:4" ht="14.95" thickBot="1" x14ac:dyDescent="0.35">
      <c r="A658" s="7"/>
      <c r="B658" s="7"/>
      <c r="C658" s="7"/>
      <c r="D658" s="7"/>
    </row>
    <row r="659" spans="1:4" ht="14.95" thickBot="1" x14ac:dyDescent="0.35">
      <c r="A659" s="7"/>
      <c r="B659" s="7"/>
      <c r="C659" s="7"/>
      <c r="D659" s="7"/>
    </row>
    <row r="660" spans="1:4" ht="14.95" thickBot="1" x14ac:dyDescent="0.35">
      <c r="A660" s="7"/>
      <c r="B660" s="7"/>
      <c r="C660" s="7"/>
      <c r="D660" s="7"/>
    </row>
    <row r="661" spans="1:4" ht="14.95" thickBot="1" x14ac:dyDescent="0.35">
      <c r="A661" s="7"/>
      <c r="B661" s="7"/>
      <c r="C661" s="7"/>
      <c r="D661" s="7"/>
    </row>
    <row r="662" spans="1:4" ht="14.95" thickBot="1" x14ac:dyDescent="0.35">
      <c r="A662" s="7"/>
      <c r="B662" s="7"/>
      <c r="C662" s="7"/>
      <c r="D662" s="7"/>
    </row>
    <row r="663" spans="1:4" ht="14.95" thickBot="1" x14ac:dyDescent="0.35">
      <c r="A663" s="7"/>
      <c r="B663" s="7"/>
      <c r="C663" s="7"/>
      <c r="D663" s="7"/>
    </row>
    <row r="664" spans="1:4" ht="14.95" thickBot="1" x14ac:dyDescent="0.35">
      <c r="A664" s="7"/>
      <c r="B664" s="7"/>
      <c r="C664" s="7"/>
      <c r="D664" s="7"/>
    </row>
    <row r="665" spans="1:4" ht="14.95" thickBot="1" x14ac:dyDescent="0.35">
      <c r="A665" s="7"/>
      <c r="B665" s="7"/>
      <c r="C665" s="7"/>
      <c r="D665" s="7"/>
    </row>
    <row r="666" spans="1:4" ht="14.95" thickBot="1" x14ac:dyDescent="0.35">
      <c r="A666" s="7"/>
      <c r="B666" s="7"/>
      <c r="C666" s="7"/>
      <c r="D666" s="7"/>
    </row>
    <row r="667" spans="1:4" ht="14.95" thickBot="1" x14ac:dyDescent="0.35">
      <c r="A667" s="7"/>
      <c r="B667" s="7"/>
      <c r="C667" s="7"/>
      <c r="D667" s="7"/>
    </row>
    <row r="668" spans="1:4" ht="14.95" thickBot="1" x14ac:dyDescent="0.35">
      <c r="A668" s="7"/>
      <c r="B668" s="7"/>
      <c r="C668" s="7"/>
      <c r="D668" s="7"/>
    </row>
    <row r="669" spans="1:4" ht="14.95" thickBot="1" x14ac:dyDescent="0.35">
      <c r="A669" s="7"/>
      <c r="B669" s="7"/>
      <c r="C669" s="7"/>
      <c r="D669" s="7"/>
    </row>
    <row r="670" spans="1:4" ht="14.95" thickBot="1" x14ac:dyDescent="0.35">
      <c r="A670" s="7"/>
      <c r="B670" s="7"/>
      <c r="C670" s="7"/>
      <c r="D670" s="7"/>
    </row>
    <row r="671" spans="1:4" ht="14.95" thickBot="1" x14ac:dyDescent="0.35">
      <c r="A671" s="7"/>
      <c r="B671" s="7"/>
      <c r="C671" s="7"/>
      <c r="D671" s="7"/>
    </row>
    <row r="672" spans="1:4" ht="14.95" thickBot="1" x14ac:dyDescent="0.35">
      <c r="A672" s="7"/>
      <c r="B672" s="7"/>
      <c r="C672" s="7"/>
      <c r="D672" s="7"/>
    </row>
    <row r="673" spans="1:4" ht="14.95" thickBot="1" x14ac:dyDescent="0.35">
      <c r="A673" s="7"/>
      <c r="B673" s="7"/>
      <c r="C673" s="7"/>
      <c r="D673" s="7"/>
    </row>
    <row r="674" spans="1:4" ht="14.95" thickBot="1" x14ac:dyDescent="0.35">
      <c r="A674" s="7"/>
      <c r="B674" s="7"/>
      <c r="C674" s="7"/>
      <c r="D674" s="7"/>
    </row>
    <row r="675" spans="1:4" ht="14.95" thickBot="1" x14ac:dyDescent="0.35">
      <c r="A675" s="7"/>
      <c r="B675" s="7"/>
      <c r="C675" s="7"/>
      <c r="D675" s="7"/>
    </row>
    <row r="676" spans="1:4" ht="14.95" thickBot="1" x14ac:dyDescent="0.35">
      <c r="A676" s="7"/>
      <c r="B676" s="7"/>
      <c r="C676" s="7"/>
      <c r="D676" s="7"/>
    </row>
    <row r="677" spans="1:4" ht="14.95" thickBot="1" x14ac:dyDescent="0.35">
      <c r="A677" s="7"/>
      <c r="B677" s="7"/>
      <c r="C677" s="7"/>
      <c r="D677" s="7"/>
    </row>
    <row r="678" spans="1:4" ht="14.95" thickBot="1" x14ac:dyDescent="0.35">
      <c r="A678" s="7"/>
      <c r="B678" s="7"/>
      <c r="C678" s="7"/>
      <c r="D678" s="7"/>
    </row>
    <row r="679" spans="1:4" ht="14.95" thickBot="1" x14ac:dyDescent="0.35">
      <c r="A679" s="7"/>
      <c r="B679" s="7"/>
      <c r="C679" s="7"/>
      <c r="D679" s="7"/>
    </row>
    <row r="680" spans="1:4" ht="14.95" thickBot="1" x14ac:dyDescent="0.35">
      <c r="A680" s="7"/>
      <c r="B680" s="7"/>
      <c r="C680" s="7"/>
      <c r="D680" s="7"/>
    </row>
    <row r="681" spans="1:4" ht="14.95" thickBot="1" x14ac:dyDescent="0.35">
      <c r="A681" s="7"/>
      <c r="B681" s="7"/>
      <c r="C681" s="7"/>
      <c r="D681" s="7"/>
    </row>
    <row r="682" spans="1:4" ht="14.95" thickBot="1" x14ac:dyDescent="0.35">
      <c r="A682" s="7"/>
      <c r="B682" s="7"/>
      <c r="C682" s="7"/>
      <c r="D682" s="7"/>
    </row>
    <row r="683" spans="1:4" ht="14.95" thickBot="1" x14ac:dyDescent="0.35">
      <c r="A683" s="7"/>
      <c r="B683" s="7"/>
      <c r="C683" s="7"/>
      <c r="D683" s="7"/>
    </row>
    <row r="684" spans="1:4" ht="14.95" thickBot="1" x14ac:dyDescent="0.35">
      <c r="A684" s="7"/>
      <c r="B684" s="7"/>
      <c r="C684" s="7"/>
      <c r="D684" s="7"/>
    </row>
    <row r="685" spans="1:4" ht="14.95" thickBot="1" x14ac:dyDescent="0.35">
      <c r="A685" s="7"/>
      <c r="B685" s="7"/>
      <c r="C685" s="7"/>
      <c r="D685" s="7"/>
    </row>
    <row r="686" spans="1:4" ht="14.95" thickBot="1" x14ac:dyDescent="0.35">
      <c r="A686" s="7"/>
      <c r="B686" s="7"/>
      <c r="C686" s="7"/>
      <c r="D686" s="7"/>
    </row>
    <row r="687" spans="1:4" ht="14.95" thickBot="1" x14ac:dyDescent="0.35">
      <c r="A687" s="7"/>
      <c r="B687" s="7"/>
      <c r="C687" s="7"/>
      <c r="D687" s="7"/>
    </row>
    <row r="688" spans="1:4" ht="14.95" thickBot="1" x14ac:dyDescent="0.35">
      <c r="A688" s="7"/>
      <c r="B688" s="7"/>
      <c r="C688" s="7"/>
      <c r="D688" s="7"/>
    </row>
    <row r="689" spans="1:4" ht="14.95" thickBot="1" x14ac:dyDescent="0.35">
      <c r="A689" s="7"/>
      <c r="B689" s="7"/>
      <c r="C689" s="7"/>
      <c r="D689" s="7"/>
    </row>
    <row r="690" spans="1:4" ht="14.95" thickBot="1" x14ac:dyDescent="0.35">
      <c r="A690" s="7"/>
      <c r="B690" s="7"/>
      <c r="C690" s="7"/>
      <c r="D690" s="7"/>
    </row>
    <row r="691" spans="1:4" ht="14.95" thickBot="1" x14ac:dyDescent="0.35">
      <c r="A691" s="7"/>
      <c r="B691" s="7"/>
      <c r="C691" s="7"/>
      <c r="D691" s="7"/>
    </row>
    <row r="692" spans="1:4" ht="14.95" thickBot="1" x14ac:dyDescent="0.35">
      <c r="A692" s="7"/>
      <c r="B692" s="7"/>
      <c r="C692" s="7"/>
      <c r="D692" s="7"/>
    </row>
    <row r="693" spans="1:4" ht="14.95" thickBot="1" x14ac:dyDescent="0.35">
      <c r="A693" s="7"/>
      <c r="B693" s="7"/>
      <c r="C693" s="7"/>
      <c r="D693" s="7"/>
    </row>
    <row r="694" spans="1:4" ht="14.95" thickBot="1" x14ac:dyDescent="0.35">
      <c r="A694" s="7"/>
      <c r="B694" s="7"/>
      <c r="C694" s="7"/>
      <c r="D694" s="7"/>
    </row>
    <row r="695" spans="1:4" ht="14.95" thickBot="1" x14ac:dyDescent="0.35">
      <c r="A695" s="7"/>
      <c r="B695" s="7"/>
      <c r="C695" s="7"/>
      <c r="D695" s="7"/>
    </row>
    <row r="696" spans="1:4" ht="14.95" thickBot="1" x14ac:dyDescent="0.35">
      <c r="A696" s="7"/>
      <c r="B696" s="7"/>
      <c r="C696" s="7"/>
      <c r="D696" s="7"/>
    </row>
    <row r="697" spans="1:4" ht="14.95" thickBot="1" x14ac:dyDescent="0.35">
      <c r="A697" s="7"/>
      <c r="B697" s="7"/>
      <c r="C697" s="7"/>
      <c r="D697" s="7"/>
    </row>
    <row r="698" spans="1:4" ht="14.95" thickBot="1" x14ac:dyDescent="0.35">
      <c r="A698" s="7"/>
      <c r="B698" s="7"/>
      <c r="C698" s="7"/>
      <c r="D698" s="7"/>
    </row>
    <row r="699" spans="1:4" ht="14.95" thickBot="1" x14ac:dyDescent="0.35">
      <c r="A699" s="7"/>
      <c r="B699" s="7"/>
      <c r="C699" s="7"/>
      <c r="D699" s="7"/>
    </row>
    <row r="700" spans="1:4" ht="14.95" thickBot="1" x14ac:dyDescent="0.35">
      <c r="A700" s="7"/>
      <c r="B700" s="7"/>
      <c r="C700" s="7"/>
      <c r="D700" s="7"/>
    </row>
    <row r="701" spans="1:4" ht="14.95" thickBot="1" x14ac:dyDescent="0.35">
      <c r="A701" s="7"/>
      <c r="B701" s="7"/>
      <c r="C701" s="7"/>
      <c r="D701" s="7"/>
    </row>
    <row r="702" spans="1:4" ht="14.95" thickBot="1" x14ac:dyDescent="0.35">
      <c r="A702" s="7"/>
      <c r="B702" s="7"/>
      <c r="C702" s="7"/>
      <c r="D702" s="7"/>
    </row>
    <row r="703" spans="1:4" ht="14.95" thickBot="1" x14ac:dyDescent="0.35">
      <c r="A703" s="7"/>
      <c r="B703" s="7"/>
      <c r="C703" s="7"/>
      <c r="D703" s="7"/>
    </row>
    <row r="704" spans="1:4" ht="14.95" thickBot="1" x14ac:dyDescent="0.35">
      <c r="A704" s="7"/>
      <c r="B704" s="7"/>
      <c r="C704" s="7"/>
      <c r="D704" s="7"/>
    </row>
    <row r="705" spans="1:4" ht="14.95" thickBot="1" x14ac:dyDescent="0.35">
      <c r="A705" s="7"/>
      <c r="B705" s="7"/>
      <c r="C705" s="7"/>
      <c r="D705" s="7"/>
    </row>
    <row r="706" spans="1:4" ht="14.95" thickBot="1" x14ac:dyDescent="0.35">
      <c r="A706" s="7"/>
      <c r="B706" s="7"/>
      <c r="C706" s="7"/>
      <c r="D706" s="7"/>
    </row>
    <row r="707" spans="1:4" ht="14.95" thickBot="1" x14ac:dyDescent="0.35">
      <c r="A707" s="7"/>
      <c r="B707" s="7"/>
      <c r="C707" s="7"/>
      <c r="D707" s="7"/>
    </row>
    <row r="708" spans="1:4" ht="14.95" thickBot="1" x14ac:dyDescent="0.35">
      <c r="A708" s="7"/>
      <c r="B708" s="7"/>
      <c r="C708" s="7"/>
      <c r="D708" s="7"/>
    </row>
    <row r="709" spans="1:4" ht="14.95" thickBot="1" x14ac:dyDescent="0.35">
      <c r="A709" s="7"/>
      <c r="B709" s="7"/>
      <c r="C709" s="7"/>
      <c r="D709" s="7"/>
    </row>
    <row r="710" spans="1:4" ht="14.95" thickBot="1" x14ac:dyDescent="0.35">
      <c r="A710" s="7"/>
      <c r="B710" s="7"/>
      <c r="C710" s="7"/>
      <c r="D710" s="7"/>
    </row>
    <row r="711" spans="1:4" ht="14.95" thickBot="1" x14ac:dyDescent="0.35">
      <c r="A711" s="7"/>
      <c r="B711" s="7"/>
      <c r="C711" s="7"/>
      <c r="D711" s="7"/>
    </row>
    <row r="712" spans="1:4" ht="14.95" thickBot="1" x14ac:dyDescent="0.35">
      <c r="A712" s="7"/>
      <c r="B712" s="7"/>
      <c r="C712" s="7"/>
      <c r="D712" s="7"/>
    </row>
    <row r="713" spans="1:4" ht="14.95" thickBot="1" x14ac:dyDescent="0.35">
      <c r="A713" s="7"/>
      <c r="B713" s="7"/>
      <c r="C713" s="7"/>
      <c r="D713" s="7"/>
    </row>
    <row r="714" spans="1:4" ht="14.95" thickBot="1" x14ac:dyDescent="0.35">
      <c r="A714" s="7"/>
      <c r="B714" s="7"/>
      <c r="C714" s="7"/>
      <c r="D714" s="7"/>
    </row>
    <row r="715" spans="1:4" ht="14.95" thickBot="1" x14ac:dyDescent="0.35">
      <c r="A715" s="7"/>
      <c r="B715" s="7"/>
      <c r="C715" s="7"/>
      <c r="D715" s="7"/>
    </row>
    <row r="716" spans="1:4" ht="14.95" thickBot="1" x14ac:dyDescent="0.35">
      <c r="A716" s="7"/>
      <c r="B716" s="7"/>
      <c r="C716" s="7"/>
      <c r="D716" s="7"/>
    </row>
    <row r="717" spans="1:4" ht="14.95" thickBot="1" x14ac:dyDescent="0.35">
      <c r="A717" s="7"/>
      <c r="B717" s="7"/>
      <c r="C717" s="7"/>
      <c r="D717" s="7"/>
    </row>
    <row r="718" spans="1:4" ht="14.95" thickBot="1" x14ac:dyDescent="0.35">
      <c r="A718" s="7"/>
      <c r="B718" s="7"/>
      <c r="C718" s="7"/>
      <c r="D718" s="7"/>
    </row>
    <row r="719" spans="1:4" ht="14.95" thickBot="1" x14ac:dyDescent="0.35">
      <c r="A719" s="7"/>
      <c r="B719" s="7"/>
      <c r="C719" s="7"/>
      <c r="D719" s="7"/>
    </row>
    <row r="720" spans="1:4" ht="14.95" thickBot="1" x14ac:dyDescent="0.35">
      <c r="A720" s="7"/>
      <c r="B720" s="7"/>
      <c r="C720" s="7"/>
      <c r="D720" s="7"/>
    </row>
    <row r="721" spans="1:4" ht="14.95" thickBot="1" x14ac:dyDescent="0.35">
      <c r="A721" s="7"/>
      <c r="B721" s="7"/>
      <c r="C721" s="7"/>
      <c r="D721" s="7"/>
    </row>
    <row r="722" spans="1:4" ht="14.95" thickBot="1" x14ac:dyDescent="0.35">
      <c r="A722" s="7"/>
      <c r="B722" s="7"/>
      <c r="C722" s="7"/>
      <c r="D722" s="7"/>
    </row>
    <row r="723" spans="1:4" ht="14.95" thickBot="1" x14ac:dyDescent="0.35">
      <c r="A723" s="7"/>
      <c r="B723" s="7"/>
      <c r="C723" s="7"/>
      <c r="D723" s="7"/>
    </row>
    <row r="724" spans="1:4" ht="14.95" thickBot="1" x14ac:dyDescent="0.35">
      <c r="A724" s="7"/>
      <c r="B724" s="7"/>
      <c r="C724" s="7"/>
      <c r="D724" s="7"/>
    </row>
    <row r="725" spans="1:4" ht="14.95" thickBot="1" x14ac:dyDescent="0.35">
      <c r="A725" s="7"/>
      <c r="B725" s="7"/>
      <c r="C725" s="7"/>
      <c r="D725" s="7"/>
    </row>
    <row r="726" spans="1:4" ht="14.95" thickBot="1" x14ac:dyDescent="0.35">
      <c r="A726" s="7"/>
      <c r="B726" s="7"/>
      <c r="C726" s="7"/>
      <c r="D726" s="7"/>
    </row>
    <row r="727" spans="1:4" ht="14.95" thickBot="1" x14ac:dyDescent="0.35">
      <c r="A727" s="7"/>
      <c r="B727" s="7"/>
      <c r="C727" s="7"/>
      <c r="D727" s="7"/>
    </row>
    <row r="728" spans="1:4" ht="14.95" thickBot="1" x14ac:dyDescent="0.35">
      <c r="A728" s="7"/>
      <c r="B728" s="7"/>
      <c r="C728" s="7"/>
      <c r="D728" s="7"/>
    </row>
    <row r="729" spans="1:4" ht="14.95" thickBot="1" x14ac:dyDescent="0.35">
      <c r="A729" s="7"/>
      <c r="B729" s="7"/>
      <c r="C729" s="7"/>
      <c r="D729" s="7"/>
    </row>
    <row r="730" spans="1:4" ht="14.95" thickBot="1" x14ac:dyDescent="0.35">
      <c r="A730" s="7"/>
      <c r="B730" s="7"/>
      <c r="C730" s="7"/>
      <c r="D730" s="7"/>
    </row>
    <row r="731" spans="1:4" ht="14.95" thickBot="1" x14ac:dyDescent="0.35">
      <c r="A731" s="7"/>
      <c r="B731" s="7"/>
      <c r="C731" s="7"/>
      <c r="D731" s="7"/>
    </row>
    <row r="732" spans="1:4" ht="14.95" thickBot="1" x14ac:dyDescent="0.35">
      <c r="A732" s="7"/>
      <c r="B732" s="7"/>
      <c r="C732" s="7"/>
      <c r="D732" s="7"/>
    </row>
    <row r="733" spans="1:4" ht="14.95" thickBot="1" x14ac:dyDescent="0.35">
      <c r="A733" s="7"/>
      <c r="B733" s="7"/>
      <c r="C733" s="7"/>
      <c r="D733" s="7"/>
    </row>
    <row r="734" spans="1:4" ht="14.95" thickBot="1" x14ac:dyDescent="0.35">
      <c r="A734" s="7"/>
      <c r="B734" s="7"/>
      <c r="C734" s="7"/>
      <c r="D734" s="7"/>
    </row>
    <row r="735" spans="1:4" ht="14.95" thickBot="1" x14ac:dyDescent="0.35">
      <c r="A735" s="7"/>
      <c r="B735" s="7"/>
      <c r="C735" s="7"/>
      <c r="D735" s="7"/>
    </row>
    <row r="736" spans="1:4" ht="14.95" thickBot="1" x14ac:dyDescent="0.35">
      <c r="A736" s="7"/>
      <c r="B736" s="7"/>
      <c r="C736" s="7"/>
      <c r="D736" s="7"/>
    </row>
    <row r="737" spans="1:4" ht="14.95" thickBot="1" x14ac:dyDescent="0.35">
      <c r="A737" s="7"/>
      <c r="B737" s="7"/>
      <c r="C737" s="7"/>
      <c r="D737" s="7"/>
    </row>
    <row r="738" spans="1:4" ht="14.95" thickBot="1" x14ac:dyDescent="0.35">
      <c r="A738" s="7"/>
      <c r="B738" s="7"/>
      <c r="C738" s="7"/>
      <c r="D738" s="7"/>
    </row>
    <row r="739" spans="1:4" ht="14.95" thickBot="1" x14ac:dyDescent="0.35">
      <c r="A739" s="7"/>
      <c r="B739" s="7"/>
      <c r="C739" s="7"/>
      <c r="D739" s="7"/>
    </row>
    <row r="740" spans="1:4" ht="14.95" thickBot="1" x14ac:dyDescent="0.35">
      <c r="A740" s="7"/>
      <c r="B740" s="7"/>
      <c r="C740" s="7"/>
      <c r="D740" s="7"/>
    </row>
    <row r="741" spans="1:4" ht="14.95" thickBot="1" x14ac:dyDescent="0.35">
      <c r="A741" s="7"/>
      <c r="B741" s="7"/>
      <c r="C741" s="7"/>
      <c r="D741" s="7"/>
    </row>
    <row r="742" spans="1:4" ht="14.95" thickBot="1" x14ac:dyDescent="0.35">
      <c r="A742" s="7"/>
      <c r="B742" s="7"/>
      <c r="C742" s="7"/>
      <c r="D742" s="7"/>
    </row>
    <row r="743" spans="1:4" ht="14.95" thickBot="1" x14ac:dyDescent="0.35">
      <c r="A743" s="7"/>
      <c r="B743" s="7"/>
      <c r="C743" s="7"/>
      <c r="D743" s="7"/>
    </row>
    <row r="744" spans="1:4" ht="14.95" thickBot="1" x14ac:dyDescent="0.35">
      <c r="A744" s="7"/>
      <c r="B744" s="7"/>
      <c r="C744" s="7"/>
      <c r="D744" s="7"/>
    </row>
    <row r="745" spans="1:4" ht="14.95" thickBot="1" x14ac:dyDescent="0.35">
      <c r="A745" s="7"/>
      <c r="B745" s="7"/>
      <c r="C745" s="7"/>
      <c r="D745" s="7"/>
    </row>
    <row r="746" spans="1:4" ht="14.95" thickBot="1" x14ac:dyDescent="0.35">
      <c r="A746" s="7"/>
      <c r="B746" s="7"/>
      <c r="C746" s="7"/>
      <c r="D746" s="7"/>
    </row>
    <row r="747" spans="1:4" ht="14.95" thickBot="1" x14ac:dyDescent="0.35">
      <c r="A747" s="7"/>
      <c r="B747" s="7"/>
      <c r="C747" s="7"/>
      <c r="D747" s="7"/>
    </row>
    <row r="748" spans="1:4" ht="14.95" thickBot="1" x14ac:dyDescent="0.35">
      <c r="A748" s="7"/>
      <c r="B748" s="7"/>
      <c r="C748" s="7"/>
      <c r="D748" s="7"/>
    </row>
    <row r="749" spans="1:4" ht="14.95" thickBot="1" x14ac:dyDescent="0.35">
      <c r="A749" s="7"/>
      <c r="B749" s="7"/>
      <c r="C749" s="7"/>
      <c r="D749" s="7"/>
    </row>
    <row r="750" spans="1:4" ht="14.95" thickBot="1" x14ac:dyDescent="0.35">
      <c r="A750" s="7"/>
      <c r="B750" s="7"/>
      <c r="C750" s="7"/>
      <c r="D750" s="7"/>
    </row>
    <row r="751" spans="1:4" ht="14.95" thickBot="1" x14ac:dyDescent="0.35">
      <c r="A751" s="7"/>
      <c r="B751" s="7"/>
      <c r="C751" s="7"/>
      <c r="D751" s="7"/>
    </row>
    <row r="752" spans="1:4" ht="14.95" thickBot="1" x14ac:dyDescent="0.35">
      <c r="A752" s="7"/>
      <c r="B752" s="7"/>
      <c r="C752" s="7"/>
      <c r="D752" s="7"/>
    </row>
    <row r="753" spans="1:4" ht="14.95" thickBot="1" x14ac:dyDescent="0.35">
      <c r="A753" s="7"/>
      <c r="B753" s="7"/>
      <c r="C753" s="7"/>
      <c r="D753" s="7"/>
    </row>
    <row r="754" spans="1:4" ht="14.95" thickBot="1" x14ac:dyDescent="0.35">
      <c r="A754" s="7"/>
      <c r="B754" s="7"/>
      <c r="C754" s="7"/>
      <c r="D754" s="7"/>
    </row>
    <row r="755" spans="1:4" ht="14.95" thickBot="1" x14ac:dyDescent="0.35">
      <c r="A755" s="7"/>
      <c r="B755" s="7"/>
      <c r="C755" s="7"/>
      <c r="D755" s="7"/>
    </row>
    <row r="756" spans="1:4" ht="14.95" thickBot="1" x14ac:dyDescent="0.35">
      <c r="A756" s="7"/>
      <c r="B756" s="7"/>
      <c r="C756" s="7"/>
      <c r="D756" s="7"/>
    </row>
    <row r="757" spans="1:4" ht="14.95" thickBot="1" x14ac:dyDescent="0.35">
      <c r="A757" s="7"/>
      <c r="B757" s="7"/>
      <c r="C757" s="7"/>
      <c r="D757" s="7"/>
    </row>
    <row r="758" spans="1:4" ht="14.95" thickBot="1" x14ac:dyDescent="0.35">
      <c r="A758" s="7"/>
      <c r="B758" s="7"/>
      <c r="C758" s="7"/>
      <c r="D758" s="7"/>
    </row>
    <row r="759" spans="1:4" ht="14.95" thickBot="1" x14ac:dyDescent="0.35">
      <c r="A759" s="7"/>
      <c r="B759" s="7"/>
      <c r="C759" s="7"/>
      <c r="D759" s="7"/>
    </row>
    <row r="760" spans="1:4" ht="14.95" thickBot="1" x14ac:dyDescent="0.35">
      <c r="A760" s="7"/>
      <c r="B760" s="7"/>
      <c r="C760" s="7"/>
      <c r="D760" s="7"/>
    </row>
    <row r="761" spans="1:4" ht="14.95" thickBot="1" x14ac:dyDescent="0.35">
      <c r="A761" s="7"/>
      <c r="B761" s="7"/>
      <c r="C761" s="7"/>
      <c r="D761" s="7"/>
    </row>
    <row r="762" spans="1:4" ht="14.95" thickBot="1" x14ac:dyDescent="0.35">
      <c r="A762" s="7"/>
      <c r="B762" s="7"/>
      <c r="C762" s="7"/>
      <c r="D762" s="7"/>
    </row>
    <row r="763" spans="1:4" ht="14.95" thickBot="1" x14ac:dyDescent="0.35">
      <c r="A763" s="7"/>
      <c r="B763" s="7"/>
      <c r="C763" s="7"/>
      <c r="D763" s="7"/>
    </row>
    <row r="764" spans="1:4" ht="14.95" thickBot="1" x14ac:dyDescent="0.35">
      <c r="A764" s="7"/>
      <c r="B764" s="7"/>
      <c r="C764" s="7"/>
      <c r="D764" s="7"/>
    </row>
    <row r="765" spans="1:4" ht="14.95" thickBot="1" x14ac:dyDescent="0.35">
      <c r="A765" s="7"/>
      <c r="B765" s="7"/>
      <c r="C765" s="7"/>
      <c r="D765" s="7"/>
    </row>
    <row r="766" spans="1:4" ht="14.95" thickBot="1" x14ac:dyDescent="0.35">
      <c r="A766" s="7"/>
      <c r="B766" s="7"/>
      <c r="C766" s="7"/>
      <c r="D766" s="7"/>
    </row>
    <row r="767" spans="1:4" ht="14.95" thickBot="1" x14ac:dyDescent="0.35">
      <c r="A767" s="7"/>
      <c r="B767" s="7"/>
      <c r="C767" s="7"/>
      <c r="D767" s="7"/>
    </row>
    <row r="768" spans="1:4" ht="14.95" thickBot="1" x14ac:dyDescent="0.35">
      <c r="A768" s="7"/>
      <c r="B768" s="7"/>
      <c r="C768" s="7"/>
      <c r="D768" s="7"/>
    </row>
    <row r="769" spans="1:4" ht="14.95" thickBot="1" x14ac:dyDescent="0.35">
      <c r="A769" s="7"/>
      <c r="B769" s="7"/>
      <c r="C769" s="7"/>
      <c r="D769" s="7"/>
    </row>
    <row r="770" spans="1:4" ht="14.95" thickBot="1" x14ac:dyDescent="0.35">
      <c r="A770" s="7"/>
      <c r="B770" s="7"/>
      <c r="C770" s="7"/>
      <c r="D770" s="7"/>
    </row>
    <row r="771" spans="1:4" ht="14.95" thickBot="1" x14ac:dyDescent="0.35">
      <c r="A771" s="7"/>
      <c r="B771" s="7"/>
      <c r="C771" s="7"/>
      <c r="D771" s="7"/>
    </row>
    <row r="772" spans="1:4" ht="14.95" thickBot="1" x14ac:dyDescent="0.35">
      <c r="A772" s="7"/>
      <c r="B772" s="7"/>
      <c r="C772" s="7"/>
      <c r="D772" s="7"/>
    </row>
    <row r="773" spans="1:4" ht="14.95" thickBot="1" x14ac:dyDescent="0.35">
      <c r="A773" s="7"/>
      <c r="B773" s="7"/>
      <c r="C773" s="7"/>
      <c r="D773" s="7"/>
    </row>
    <row r="774" spans="1:4" ht="14.95" thickBot="1" x14ac:dyDescent="0.35">
      <c r="A774" s="7"/>
      <c r="B774" s="7"/>
      <c r="C774" s="7"/>
      <c r="D774" s="7"/>
    </row>
    <row r="775" spans="1:4" ht="14.95" thickBot="1" x14ac:dyDescent="0.35">
      <c r="A775" s="7"/>
      <c r="B775" s="7"/>
      <c r="C775" s="7"/>
      <c r="D775" s="7"/>
    </row>
    <row r="776" spans="1:4" ht="14.95" thickBot="1" x14ac:dyDescent="0.35">
      <c r="A776" s="7"/>
      <c r="B776" s="7"/>
      <c r="C776" s="7"/>
      <c r="D776" s="7"/>
    </row>
    <row r="777" spans="1:4" ht="14.95" thickBot="1" x14ac:dyDescent="0.35">
      <c r="A777" s="7"/>
      <c r="B777" s="7"/>
      <c r="C777" s="7"/>
      <c r="D777" s="7"/>
    </row>
    <row r="778" spans="1:4" ht="14.95" thickBot="1" x14ac:dyDescent="0.35">
      <c r="A778" s="7"/>
      <c r="B778" s="7"/>
      <c r="C778" s="7"/>
      <c r="D778" s="7"/>
    </row>
    <row r="779" spans="1:4" ht="14.95" thickBot="1" x14ac:dyDescent="0.35">
      <c r="A779" s="7"/>
      <c r="B779" s="7"/>
      <c r="C779" s="7"/>
      <c r="D779" s="7"/>
    </row>
    <row r="780" spans="1:4" ht="14.95" thickBot="1" x14ac:dyDescent="0.35">
      <c r="A780" s="7"/>
      <c r="B780" s="7"/>
      <c r="C780" s="7"/>
      <c r="D780" s="7"/>
    </row>
    <row r="781" spans="1:4" ht="14.95" thickBot="1" x14ac:dyDescent="0.35">
      <c r="A781" s="7"/>
      <c r="B781" s="7"/>
      <c r="C781" s="7"/>
      <c r="D781" s="7"/>
    </row>
    <row r="782" spans="1:4" ht="14.95" thickBot="1" x14ac:dyDescent="0.35">
      <c r="A782" s="7"/>
      <c r="B782" s="7"/>
      <c r="C782" s="7"/>
      <c r="D782" s="7"/>
    </row>
    <row r="783" spans="1:4" ht="14.95" thickBot="1" x14ac:dyDescent="0.35">
      <c r="A783" s="7"/>
      <c r="B783" s="7"/>
      <c r="C783" s="7"/>
      <c r="D783" s="7"/>
    </row>
    <row r="784" spans="1:4" ht="14.95" thickBot="1" x14ac:dyDescent="0.35">
      <c r="A784" s="7"/>
      <c r="B784" s="7"/>
      <c r="C784" s="7"/>
      <c r="D784" s="7"/>
    </row>
    <row r="785" spans="1:4" ht="14.95" thickBot="1" x14ac:dyDescent="0.35">
      <c r="A785" s="7"/>
      <c r="B785" s="7"/>
      <c r="C785" s="7"/>
      <c r="D785" s="7"/>
    </row>
    <row r="786" spans="1:4" ht="14.95" thickBot="1" x14ac:dyDescent="0.35">
      <c r="A786" s="7"/>
      <c r="B786" s="7"/>
      <c r="C786" s="7"/>
      <c r="D786" s="7"/>
    </row>
    <row r="787" spans="1:4" ht="14.95" thickBot="1" x14ac:dyDescent="0.35">
      <c r="A787" s="7"/>
      <c r="B787" s="7"/>
      <c r="C787" s="7"/>
      <c r="D787" s="7"/>
    </row>
    <row r="788" spans="1:4" ht="14.95" thickBot="1" x14ac:dyDescent="0.35">
      <c r="A788" s="7"/>
      <c r="B788" s="7"/>
      <c r="C788" s="7"/>
      <c r="D788" s="7"/>
    </row>
    <row r="789" spans="1:4" ht="14.95" thickBot="1" x14ac:dyDescent="0.35">
      <c r="A789" s="7"/>
      <c r="B789" s="7"/>
      <c r="C789" s="7"/>
      <c r="D789" s="7"/>
    </row>
    <row r="790" spans="1:4" ht="14.95" thickBot="1" x14ac:dyDescent="0.35">
      <c r="A790" s="7"/>
      <c r="B790" s="7"/>
      <c r="C790" s="7"/>
      <c r="D790" s="7"/>
    </row>
    <row r="791" spans="1:4" ht="14.95" thickBot="1" x14ac:dyDescent="0.35">
      <c r="A791" s="7"/>
      <c r="B791" s="7"/>
      <c r="C791" s="7"/>
      <c r="D791" s="7"/>
    </row>
    <row r="792" spans="1:4" ht="14.95" thickBot="1" x14ac:dyDescent="0.35">
      <c r="A792" s="7"/>
      <c r="B792" s="7"/>
      <c r="C792" s="7"/>
      <c r="D792" s="7"/>
    </row>
    <row r="793" spans="1:4" ht="14.95" thickBot="1" x14ac:dyDescent="0.35">
      <c r="A793" s="7"/>
      <c r="B793" s="7"/>
      <c r="C793" s="7"/>
      <c r="D793" s="7"/>
    </row>
    <row r="794" spans="1:4" ht="14.95" thickBot="1" x14ac:dyDescent="0.35">
      <c r="A794" s="7"/>
      <c r="B794" s="7"/>
      <c r="C794" s="7"/>
      <c r="D794" s="7"/>
    </row>
    <row r="795" spans="1:4" ht="14.95" thickBot="1" x14ac:dyDescent="0.35">
      <c r="A795" s="7"/>
      <c r="B795" s="7"/>
      <c r="C795" s="7"/>
      <c r="D795" s="7"/>
    </row>
    <row r="796" spans="1:4" ht="14.95" thickBot="1" x14ac:dyDescent="0.35">
      <c r="A796" s="7"/>
      <c r="B796" s="7"/>
      <c r="C796" s="7"/>
      <c r="D796" s="7"/>
    </row>
    <row r="797" spans="1:4" ht="14.95" thickBot="1" x14ac:dyDescent="0.35">
      <c r="A797" s="7"/>
      <c r="B797" s="7"/>
      <c r="C797" s="7"/>
      <c r="D797" s="7"/>
    </row>
    <row r="798" spans="1:4" ht="14.95" thickBot="1" x14ac:dyDescent="0.35">
      <c r="A798" s="7"/>
      <c r="B798" s="7"/>
      <c r="C798" s="7"/>
      <c r="D798" s="7"/>
    </row>
    <row r="799" spans="1:4" ht="14.95" thickBot="1" x14ac:dyDescent="0.35">
      <c r="A799" s="7"/>
      <c r="B799" s="7"/>
      <c r="C799" s="7"/>
      <c r="D799" s="7"/>
    </row>
    <row r="800" spans="1:4" ht="14.95" thickBot="1" x14ac:dyDescent="0.35">
      <c r="A800" s="7"/>
      <c r="B800" s="7"/>
      <c r="C800" s="7"/>
      <c r="D800" s="7"/>
    </row>
    <row r="801" spans="1:4" ht="14.95" thickBot="1" x14ac:dyDescent="0.35">
      <c r="A801" s="7"/>
      <c r="B801" s="7"/>
      <c r="C801" s="7"/>
      <c r="D801" s="7"/>
    </row>
    <row r="802" spans="1:4" ht="14.95" thickBot="1" x14ac:dyDescent="0.35">
      <c r="A802" s="7"/>
      <c r="B802" s="7"/>
      <c r="C802" s="7"/>
      <c r="D802" s="7"/>
    </row>
    <row r="803" spans="1:4" ht="14.95" thickBot="1" x14ac:dyDescent="0.35">
      <c r="A803" s="7"/>
      <c r="B803" s="7"/>
      <c r="C803" s="7"/>
      <c r="D803" s="7"/>
    </row>
    <row r="804" spans="1:4" ht="14.95" thickBot="1" x14ac:dyDescent="0.35">
      <c r="A804" s="7"/>
      <c r="B804" s="7"/>
      <c r="C804" s="7"/>
      <c r="D804" s="7"/>
    </row>
    <row r="805" spans="1:4" ht="14.95" thickBot="1" x14ac:dyDescent="0.35">
      <c r="A805" s="7"/>
      <c r="B805" s="7"/>
      <c r="C805" s="7"/>
      <c r="D805" s="7"/>
    </row>
    <row r="806" spans="1:4" ht="14.95" thickBot="1" x14ac:dyDescent="0.35">
      <c r="A806" s="7"/>
      <c r="B806" s="7"/>
      <c r="C806" s="7"/>
      <c r="D806" s="7"/>
    </row>
    <row r="807" spans="1:4" ht="14.95" thickBot="1" x14ac:dyDescent="0.35">
      <c r="A807" s="7"/>
      <c r="B807" s="7"/>
      <c r="C807" s="7"/>
      <c r="D807" s="7"/>
    </row>
    <row r="808" spans="1:4" ht="14.95" thickBot="1" x14ac:dyDescent="0.35">
      <c r="A808" s="7"/>
      <c r="B808" s="7"/>
      <c r="C808" s="7"/>
      <c r="D808" s="7"/>
    </row>
    <row r="809" spans="1:4" ht="14.95" thickBot="1" x14ac:dyDescent="0.35">
      <c r="A809" s="7"/>
      <c r="B809" s="7"/>
      <c r="C809" s="7"/>
      <c r="D809" s="7"/>
    </row>
    <row r="810" spans="1:4" ht="14.95" thickBot="1" x14ac:dyDescent="0.35">
      <c r="A810" s="7"/>
      <c r="B810" s="7"/>
      <c r="C810" s="7"/>
      <c r="D810" s="7"/>
    </row>
    <row r="811" spans="1:4" ht="14.95" thickBot="1" x14ac:dyDescent="0.35">
      <c r="A811" s="7"/>
      <c r="B811" s="7"/>
      <c r="C811" s="7"/>
      <c r="D811" s="7"/>
    </row>
    <row r="812" spans="1:4" ht="14.95" thickBot="1" x14ac:dyDescent="0.35">
      <c r="A812" s="7"/>
      <c r="B812" s="7"/>
      <c r="C812" s="7"/>
      <c r="D812" s="7"/>
    </row>
    <row r="813" spans="1:4" ht="14.95" thickBot="1" x14ac:dyDescent="0.35">
      <c r="A813" s="7"/>
      <c r="B813" s="7"/>
      <c r="C813" s="7"/>
      <c r="D813" s="7"/>
    </row>
    <row r="814" spans="1:4" ht="14.95" thickBot="1" x14ac:dyDescent="0.35">
      <c r="A814" s="7"/>
      <c r="B814" s="7"/>
      <c r="C814" s="7"/>
      <c r="D814" s="7"/>
    </row>
    <row r="815" spans="1:4" ht="14.95" thickBot="1" x14ac:dyDescent="0.35">
      <c r="A815" s="7"/>
      <c r="B815" s="7"/>
      <c r="C815" s="7"/>
      <c r="D815" s="7"/>
    </row>
    <row r="816" spans="1:4" ht="14.95" thickBot="1" x14ac:dyDescent="0.35">
      <c r="A816" s="7"/>
      <c r="B816" s="7"/>
      <c r="C816" s="7"/>
      <c r="D816" s="7"/>
    </row>
    <row r="817" spans="1:4" ht="14.95" thickBot="1" x14ac:dyDescent="0.35">
      <c r="A817" s="7"/>
      <c r="B817" s="7"/>
      <c r="C817" s="7"/>
      <c r="D817" s="7"/>
    </row>
    <row r="818" spans="1:4" ht="14.95" thickBot="1" x14ac:dyDescent="0.35">
      <c r="A818" s="7"/>
      <c r="B818" s="7"/>
      <c r="C818" s="7"/>
      <c r="D818" s="7"/>
    </row>
    <row r="819" spans="1:4" ht="14.95" thickBot="1" x14ac:dyDescent="0.35">
      <c r="A819" s="7"/>
      <c r="B819" s="7"/>
      <c r="C819" s="7"/>
      <c r="D819" s="7"/>
    </row>
    <row r="820" spans="1:4" ht="14.95" thickBot="1" x14ac:dyDescent="0.35">
      <c r="A820" s="7"/>
      <c r="B820" s="7"/>
      <c r="C820" s="7"/>
      <c r="D820" s="7"/>
    </row>
    <row r="821" spans="1:4" ht="14.95" thickBot="1" x14ac:dyDescent="0.35">
      <c r="A821" s="7"/>
      <c r="B821" s="7"/>
      <c r="C821" s="7"/>
      <c r="D821" s="7"/>
    </row>
    <row r="822" spans="1:4" ht="14.95" thickBot="1" x14ac:dyDescent="0.35">
      <c r="A822" s="7"/>
      <c r="B822" s="7"/>
      <c r="C822" s="7"/>
      <c r="D822" s="7"/>
    </row>
    <row r="823" spans="1:4" ht="14.95" thickBot="1" x14ac:dyDescent="0.35">
      <c r="A823" s="7"/>
      <c r="B823" s="7"/>
      <c r="C823" s="7"/>
      <c r="D823" s="7"/>
    </row>
    <row r="824" spans="1:4" ht="14.95" thickBot="1" x14ac:dyDescent="0.35">
      <c r="A824" s="7"/>
      <c r="B824" s="7"/>
      <c r="C824" s="7"/>
      <c r="D824" s="7"/>
    </row>
    <row r="825" spans="1:4" ht="14.95" thickBot="1" x14ac:dyDescent="0.35">
      <c r="A825" s="7"/>
      <c r="B825" s="7"/>
      <c r="C825" s="7"/>
      <c r="D825" s="7"/>
    </row>
    <row r="826" spans="1:4" ht="14.95" thickBot="1" x14ac:dyDescent="0.35">
      <c r="A826" s="7"/>
      <c r="B826" s="7"/>
      <c r="C826" s="7"/>
      <c r="D826" s="7"/>
    </row>
    <row r="827" spans="1:4" ht="14.95" thickBot="1" x14ac:dyDescent="0.35">
      <c r="A827" s="7"/>
      <c r="B827" s="7"/>
      <c r="C827" s="7"/>
      <c r="D827" s="7"/>
    </row>
    <row r="828" spans="1:4" ht="14.95" thickBot="1" x14ac:dyDescent="0.35">
      <c r="A828" s="7"/>
      <c r="B828" s="7"/>
      <c r="C828" s="7"/>
      <c r="D828" s="7"/>
    </row>
    <row r="829" spans="1:4" ht="14.95" thickBot="1" x14ac:dyDescent="0.35">
      <c r="A829" s="7"/>
      <c r="B829" s="7"/>
      <c r="C829" s="7"/>
      <c r="D829" s="7"/>
    </row>
    <row r="830" spans="1:4" ht="14.95" thickBot="1" x14ac:dyDescent="0.35">
      <c r="A830" s="7"/>
      <c r="B830" s="7"/>
      <c r="C830" s="7"/>
      <c r="D830" s="7"/>
    </row>
    <row r="831" spans="1:4" ht="14.95" thickBot="1" x14ac:dyDescent="0.35">
      <c r="A831" s="7"/>
      <c r="B831" s="7"/>
      <c r="C831" s="7"/>
      <c r="D831" s="7"/>
    </row>
    <row r="832" spans="1:4" ht="14.95" thickBot="1" x14ac:dyDescent="0.35">
      <c r="A832" s="7"/>
      <c r="B832" s="7"/>
      <c r="C832" s="7"/>
      <c r="D832" s="7"/>
    </row>
    <row r="833" spans="1:4" ht="14.95" thickBot="1" x14ac:dyDescent="0.35">
      <c r="A833" s="7"/>
      <c r="B833" s="7"/>
      <c r="C833" s="7"/>
      <c r="D833" s="7"/>
    </row>
    <row r="834" spans="1:4" ht="14.95" thickBot="1" x14ac:dyDescent="0.35">
      <c r="A834" s="7"/>
      <c r="B834" s="7"/>
      <c r="C834" s="7"/>
      <c r="D834" s="7"/>
    </row>
    <row r="835" spans="1:4" ht="14.95" thickBot="1" x14ac:dyDescent="0.35">
      <c r="A835" s="7"/>
      <c r="B835" s="7"/>
      <c r="C835" s="7"/>
      <c r="D835" s="7"/>
    </row>
    <row r="836" spans="1:4" ht="14.95" thickBot="1" x14ac:dyDescent="0.35">
      <c r="A836" s="7"/>
      <c r="B836" s="7"/>
      <c r="C836" s="7"/>
      <c r="D836" s="7"/>
    </row>
    <row r="837" spans="1:4" ht="14.95" thickBot="1" x14ac:dyDescent="0.35">
      <c r="A837" s="7"/>
      <c r="B837" s="7"/>
      <c r="C837" s="7"/>
      <c r="D837" s="7"/>
    </row>
    <row r="838" spans="1:4" ht="14.95" thickBot="1" x14ac:dyDescent="0.35">
      <c r="A838" s="7"/>
      <c r="B838" s="7"/>
      <c r="C838" s="7"/>
      <c r="D838" s="7"/>
    </row>
    <row r="839" spans="1:4" ht="14.95" thickBot="1" x14ac:dyDescent="0.35">
      <c r="A839" s="7"/>
      <c r="B839" s="7"/>
      <c r="C839" s="7"/>
      <c r="D839" s="7"/>
    </row>
    <row r="840" spans="1:4" ht="14.95" thickBot="1" x14ac:dyDescent="0.35">
      <c r="A840" s="7"/>
      <c r="B840" s="7"/>
      <c r="C840" s="7"/>
      <c r="D840" s="7"/>
    </row>
    <row r="841" spans="1:4" ht="14.95" thickBot="1" x14ac:dyDescent="0.35">
      <c r="A841" s="7"/>
      <c r="B841" s="7"/>
      <c r="C841" s="7"/>
      <c r="D841" s="7"/>
    </row>
    <row r="842" spans="1:4" ht="14.95" thickBot="1" x14ac:dyDescent="0.35">
      <c r="A842" s="7"/>
      <c r="B842" s="7"/>
      <c r="C842" s="7"/>
      <c r="D842" s="7"/>
    </row>
    <row r="843" spans="1:4" ht="14.95" thickBot="1" x14ac:dyDescent="0.35">
      <c r="A843" s="7"/>
      <c r="B843" s="7"/>
      <c r="C843" s="7"/>
      <c r="D843" s="7"/>
    </row>
    <row r="844" spans="1:4" ht="14.95" thickBot="1" x14ac:dyDescent="0.35">
      <c r="A844" s="7"/>
      <c r="B844" s="7"/>
      <c r="C844" s="7"/>
      <c r="D844" s="7"/>
    </row>
    <row r="845" spans="1:4" ht="14.95" thickBot="1" x14ac:dyDescent="0.35">
      <c r="A845" s="7"/>
      <c r="B845" s="7"/>
      <c r="C845" s="7"/>
      <c r="D845" s="7"/>
    </row>
    <row r="846" spans="1:4" ht="14.95" thickBot="1" x14ac:dyDescent="0.35">
      <c r="A846" s="7"/>
      <c r="B846" s="7"/>
      <c r="C846" s="7"/>
      <c r="D846" s="7"/>
    </row>
    <row r="847" spans="1:4" ht="14.95" thickBot="1" x14ac:dyDescent="0.35">
      <c r="A847" s="7"/>
      <c r="B847" s="7"/>
      <c r="C847" s="7"/>
      <c r="D847" s="7"/>
    </row>
    <row r="848" spans="1:4" ht="14.95" thickBot="1" x14ac:dyDescent="0.35">
      <c r="A848" s="7"/>
      <c r="B848" s="7"/>
      <c r="C848" s="7"/>
      <c r="D848" s="7"/>
    </row>
    <row r="849" spans="1:4" ht="14.95" thickBot="1" x14ac:dyDescent="0.35">
      <c r="A849" s="7"/>
      <c r="B849" s="7"/>
      <c r="C849" s="7"/>
      <c r="D849" s="7"/>
    </row>
    <row r="850" spans="1:4" ht="14.95" thickBot="1" x14ac:dyDescent="0.35">
      <c r="A850" s="7"/>
      <c r="B850" s="7"/>
      <c r="C850" s="7"/>
      <c r="D850" s="7"/>
    </row>
    <row r="851" spans="1:4" ht="14.95" thickBot="1" x14ac:dyDescent="0.35">
      <c r="A851" s="7"/>
      <c r="B851" s="7"/>
      <c r="C851" s="7"/>
      <c r="D851" s="7"/>
    </row>
    <row r="852" spans="1:4" ht="14.95" thickBot="1" x14ac:dyDescent="0.35">
      <c r="A852" s="7"/>
      <c r="B852" s="7"/>
      <c r="C852" s="7"/>
      <c r="D852" s="7"/>
    </row>
    <row r="853" spans="1:4" ht="14.95" thickBot="1" x14ac:dyDescent="0.35">
      <c r="A853" s="7"/>
      <c r="B853" s="7"/>
      <c r="C853" s="7"/>
      <c r="D853" s="7"/>
    </row>
    <row r="854" spans="1:4" ht="14.95" thickBot="1" x14ac:dyDescent="0.35">
      <c r="A854" s="7"/>
      <c r="B854" s="7"/>
      <c r="C854" s="7"/>
      <c r="D854" s="7"/>
    </row>
    <row r="855" spans="1:4" ht="14.95" thickBot="1" x14ac:dyDescent="0.35">
      <c r="A855" s="7"/>
      <c r="B855" s="7"/>
      <c r="C855" s="7"/>
      <c r="D855" s="7"/>
    </row>
    <row r="856" spans="1:4" ht="14.95" thickBot="1" x14ac:dyDescent="0.35">
      <c r="A856" s="7"/>
      <c r="B856" s="7"/>
      <c r="C856" s="7"/>
      <c r="D856" s="7"/>
    </row>
    <row r="857" spans="1:4" ht="14.95" thickBot="1" x14ac:dyDescent="0.35">
      <c r="A857" s="7"/>
      <c r="B857" s="7"/>
      <c r="C857" s="7"/>
      <c r="D857" s="7"/>
    </row>
    <row r="858" spans="1:4" ht="14.95" thickBot="1" x14ac:dyDescent="0.35">
      <c r="A858" s="7"/>
      <c r="B858" s="7"/>
      <c r="C858" s="7"/>
      <c r="D858" s="7"/>
    </row>
    <row r="859" spans="1:4" ht="14.95" thickBot="1" x14ac:dyDescent="0.35">
      <c r="A859" s="7"/>
      <c r="B859" s="7"/>
      <c r="C859" s="7"/>
      <c r="D859" s="7"/>
    </row>
    <row r="860" spans="1:4" ht="14.95" thickBot="1" x14ac:dyDescent="0.35">
      <c r="A860" s="7"/>
      <c r="B860" s="7"/>
      <c r="C860" s="7"/>
      <c r="D860" s="7"/>
    </row>
    <row r="861" spans="1:4" ht="14.95" thickBot="1" x14ac:dyDescent="0.35">
      <c r="A861" s="7"/>
      <c r="B861" s="7"/>
      <c r="C861" s="7"/>
      <c r="D861" s="7"/>
    </row>
    <row r="862" spans="1:4" ht="14.95" thickBot="1" x14ac:dyDescent="0.35">
      <c r="A862" s="7"/>
      <c r="B862" s="7"/>
      <c r="C862" s="7"/>
      <c r="D862" s="7"/>
    </row>
    <row r="863" spans="1:4" ht="14.95" thickBot="1" x14ac:dyDescent="0.35">
      <c r="A863" s="7"/>
      <c r="B863" s="7"/>
      <c r="C863" s="7"/>
      <c r="D863" s="7"/>
    </row>
    <row r="864" spans="1:4" ht="14.95" thickBot="1" x14ac:dyDescent="0.35">
      <c r="A864" s="7"/>
      <c r="B864" s="7"/>
      <c r="C864" s="7"/>
      <c r="D864" s="7"/>
    </row>
    <row r="865" spans="1:4" ht="14.95" thickBot="1" x14ac:dyDescent="0.35">
      <c r="A865" s="7"/>
      <c r="B865" s="7"/>
      <c r="C865" s="7"/>
      <c r="D865" s="7"/>
    </row>
    <row r="866" spans="1:4" ht="14.95" thickBot="1" x14ac:dyDescent="0.35">
      <c r="A866" s="7"/>
      <c r="B866" s="7"/>
      <c r="C866" s="7"/>
      <c r="D866" s="7"/>
    </row>
    <row r="867" spans="1:4" ht="14.95" thickBot="1" x14ac:dyDescent="0.35">
      <c r="A867" s="7"/>
      <c r="B867" s="7"/>
      <c r="C867" s="7"/>
      <c r="D867" s="7"/>
    </row>
    <row r="868" spans="1:4" ht="14.95" thickBot="1" x14ac:dyDescent="0.35">
      <c r="A868" s="7"/>
      <c r="B868" s="7"/>
      <c r="C868" s="7"/>
      <c r="D868" s="7"/>
    </row>
    <row r="869" spans="1:4" ht="14.95" thickBot="1" x14ac:dyDescent="0.35">
      <c r="A869" s="7"/>
      <c r="B869" s="7"/>
      <c r="C869" s="7"/>
      <c r="D869" s="7"/>
    </row>
    <row r="870" spans="1:4" ht="14.95" thickBot="1" x14ac:dyDescent="0.35">
      <c r="A870" s="7"/>
      <c r="B870" s="7"/>
      <c r="C870" s="7"/>
      <c r="D870" s="7"/>
    </row>
    <row r="871" spans="1:4" ht="14.95" thickBot="1" x14ac:dyDescent="0.35">
      <c r="A871" s="7"/>
      <c r="B871" s="7"/>
      <c r="C871" s="7"/>
      <c r="D871" s="7"/>
    </row>
    <row r="872" spans="1:4" ht="14.95" thickBot="1" x14ac:dyDescent="0.35">
      <c r="A872" s="7"/>
      <c r="B872" s="7"/>
      <c r="C872" s="7"/>
      <c r="D872" s="7"/>
    </row>
    <row r="873" spans="1:4" ht="14.95" thickBot="1" x14ac:dyDescent="0.35">
      <c r="A873" s="7"/>
      <c r="B873" s="7"/>
      <c r="C873" s="7"/>
      <c r="D873" s="7"/>
    </row>
    <row r="874" spans="1:4" ht="14.95" thickBot="1" x14ac:dyDescent="0.35">
      <c r="A874" s="7"/>
      <c r="B874" s="7"/>
      <c r="C874" s="7"/>
      <c r="D874" s="7"/>
    </row>
    <row r="875" spans="1:4" ht="14.95" thickBot="1" x14ac:dyDescent="0.35">
      <c r="A875" s="7"/>
      <c r="B875" s="7"/>
      <c r="C875" s="7"/>
      <c r="D875" s="7"/>
    </row>
    <row r="876" spans="1:4" ht="14.95" thickBot="1" x14ac:dyDescent="0.35">
      <c r="A876" s="7"/>
      <c r="B876" s="7"/>
      <c r="C876" s="7"/>
      <c r="D876" s="7"/>
    </row>
    <row r="877" spans="1:4" ht="14.95" thickBot="1" x14ac:dyDescent="0.35">
      <c r="A877" s="7"/>
      <c r="B877" s="7"/>
      <c r="C877" s="7"/>
      <c r="D877" s="7"/>
    </row>
    <row r="878" spans="1:4" ht="14.95" thickBot="1" x14ac:dyDescent="0.35">
      <c r="A878" s="7"/>
      <c r="B878" s="7"/>
      <c r="C878" s="7"/>
      <c r="D878" s="7"/>
    </row>
    <row r="879" spans="1:4" ht="14.95" thickBot="1" x14ac:dyDescent="0.35">
      <c r="A879" s="7"/>
      <c r="B879" s="7"/>
      <c r="C879" s="7"/>
      <c r="D879" s="7"/>
    </row>
    <row r="880" spans="1:4" ht="14.95" thickBot="1" x14ac:dyDescent="0.35">
      <c r="A880" s="7"/>
      <c r="B880" s="7"/>
      <c r="C880" s="7"/>
      <c r="D880" s="7"/>
    </row>
    <row r="881" spans="1:4" ht="14.95" thickBot="1" x14ac:dyDescent="0.35">
      <c r="A881" s="7"/>
      <c r="B881" s="7"/>
      <c r="C881" s="7"/>
      <c r="D881" s="7"/>
    </row>
    <row r="882" spans="1:4" ht="14.95" thickBot="1" x14ac:dyDescent="0.35">
      <c r="A882" s="7"/>
      <c r="B882" s="7"/>
      <c r="C882" s="7"/>
      <c r="D882" s="7"/>
    </row>
    <row r="883" spans="1:4" ht="14.95" thickBot="1" x14ac:dyDescent="0.35">
      <c r="A883" s="7"/>
      <c r="B883" s="7"/>
      <c r="C883" s="7"/>
      <c r="D883" s="7"/>
    </row>
    <row r="884" spans="1:4" ht="14.95" thickBot="1" x14ac:dyDescent="0.35">
      <c r="A884" s="7"/>
      <c r="B884" s="7"/>
      <c r="C884" s="7"/>
      <c r="D884" s="7"/>
    </row>
    <row r="885" spans="1:4" ht="14.95" thickBot="1" x14ac:dyDescent="0.35">
      <c r="A885" s="7"/>
      <c r="B885" s="7"/>
      <c r="C885" s="7"/>
      <c r="D885" s="7"/>
    </row>
    <row r="886" spans="1:4" ht="14.95" thickBot="1" x14ac:dyDescent="0.35">
      <c r="A886" s="7"/>
      <c r="B886" s="7"/>
      <c r="C886" s="7"/>
      <c r="D886" s="7"/>
    </row>
    <row r="887" spans="1:4" ht="14.95" thickBot="1" x14ac:dyDescent="0.35">
      <c r="A887" s="7"/>
      <c r="B887" s="7"/>
      <c r="C887" s="7"/>
      <c r="D887" s="7"/>
    </row>
    <row r="888" spans="1:4" ht="14.95" thickBot="1" x14ac:dyDescent="0.35">
      <c r="A888" s="7"/>
      <c r="B888" s="7"/>
      <c r="C888" s="7"/>
      <c r="D888" s="7"/>
    </row>
    <row r="889" spans="1:4" ht="14.95" thickBot="1" x14ac:dyDescent="0.35">
      <c r="A889" s="7"/>
      <c r="B889" s="7"/>
      <c r="C889" s="7"/>
      <c r="D889" s="7"/>
    </row>
    <row r="890" spans="1:4" ht="14.95" thickBot="1" x14ac:dyDescent="0.35">
      <c r="A890" s="7"/>
      <c r="B890" s="7"/>
      <c r="C890" s="7"/>
      <c r="D890" s="7"/>
    </row>
    <row r="891" spans="1:4" ht="14.95" thickBot="1" x14ac:dyDescent="0.35">
      <c r="A891" s="7"/>
      <c r="B891" s="7"/>
      <c r="C891" s="7"/>
      <c r="D891" s="7"/>
    </row>
    <row r="892" spans="1:4" ht="14.95" thickBot="1" x14ac:dyDescent="0.35">
      <c r="A892" s="7"/>
      <c r="B892" s="7"/>
      <c r="C892" s="7"/>
      <c r="D892" s="7"/>
    </row>
    <row r="893" spans="1:4" ht="14.95" thickBot="1" x14ac:dyDescent="0.35">
      <c r="A893" s="7"/>
      <c r="B893" s="7"/>
      <c r="C893" s="7"/>
      <c r="D893" s="7"/>
    </row>
    <row r="894" spans="1:4" ht="14.95" thickBot="1" x14ac:dyDescent="0.35">
      <c r="A894" s="7"/>
      <c r="B894" s="7"/>
      <c r="C894" s="7"/>
      <c r="D894" s="7"/>
    </row>
    <row r="895" spans="1:4" ht="14.95" thickBot="1" x14ac:dyDescent="0.35">
      <c r="A895" s="7"/>
      <c r="B895" s="7"/>
      <c r="C895" s="7"/>
      <c r="D895" s="7"/>
    </row>
    <row r="896" spans="1:4" ht="14.95" thickBot="1" x14ac:dyDescent="0.35">
      <c r="A896" s="7"/>
      <c r="B896" s="7"/>
      <c r="C896" s="7"/>
      <c r="D896" s="7"/>
    </row>
    <row r="897" spans="1:4" ht="14.95" thickBot="1" x14ac:dyDescent="0.35">
      <c r="A897" s="7"/>
      <c r="B897" s="7"/>
      <c r="C897" s="7"/>
      <c r="D897" s="7"/>
    </row>
    <row r="898" spans="1:4" ht="14.95" thickBot="1" x14ac:dyDescent="0.35">
      <c r="A898" s="7"/>
      <c r="B898" s="7"/>
      <c r="C898" s="7"/>
      <c r="D898" s="7"/>
    </row>
    <row r="899" spans="1:4" ht="14.95" thickBot="1" x14ac:dyDescent="0.35">
      <c r="A899" s="7"/>
      <c r="B899" s="7"/>
      <c r="C899" s="7"/>
      <c r="D899" s="7"/>
    </row>
    <row r="900" spans="1:4" ht="14.95" thickBot="1" x14ac:dyDescent="0.35">
      <c r="A900" s="7"/>
      <c r="B900" s="7"/>
      <c r="C900" s="7"/>
      <c r="D900" s="7"/>
    </row>
    <row r="901" spans="1:4" ht="14.95" thickBot="1" x14ac:dyDescent="0.35">
      <c r="A901" s="7"/>
      <c r="B901" s="7"/>
      <c r="C901" s="7"/>
      <c r="D901" s="7"/>
    </row>
    <row r="902" spans="1:4" ht="14.95" thickBot="1" x14ac:dyDescent="0.35">
      <c r="A902" s="7"/>
      <c r="B902" s="7"/>
      <c r="C902" s="7"/>
      <c r="D902" s="7"/>
    </row>
    <row r="903" spans="1:4" ht="14.95" thickBot="1" x14ac:dyDescent="0.35">
      <c r="A903" s="7"/>
      <c r="B903" s="7"/>
      <c r="C903" s="7"/>
      <c r="D903" s="7"/>
    </row>
    <row r="904" spans="1:4" ht="14.95" thickBot="1" x14ac:dyDescent="0.35">
      <c r="A904" s="7"/>
      <c r="B904" s="7"/>
      <c r="C904" s="7"/>
      <c r="D904" s="7"/>
    </row>
    <row r="905" spans="1:4" ht="14.95" thickBot="1" x14ac:dyDescent="0.35">
      <c r="A905" s="7"/>
      <c r="B905" s="7"/>
      <c r="C905" s="7"/>
      <c r="D905" s="7"/>
    </row>
    <row r="906" spans="1:4" ht="14.95" thickBot="1" x14ac:dyDescent="0.35">
      <c r="A906" s="7"/>
      <c r="B906" s="7"/>
      <c r="C906" s="7"/>
      <c r="D906" s="7"/>
    </row>
    <row r="907" spans="1:4" ht="14.95" thickBot="1" x14ac:dyDescent="0.35">
      <c r="A907" s="7"/>
      <c r="B907" s="7"/>
      <c r="C907" s="7"/>
      <c r="D907" s="7"/>
    </row>
    <row r="908" spans="1:4" ht="14.95" thickBot="1" x14ac:dyDescent="0.35">
      <c r="A908" s="7"/>
      <c r="B908" s="7"/>
      <c r="C908" s="7"/>
      <c r="D908" s="7"/>
    </row>
    <row r="909" spans="1:4" ht="14.95" thickBot="1" x14ac:dyDescent="0.35">
      <c r="A909" s="7"/>
      <c r="B909" s="7"/>
      <c r="C909" s="7"/>
      <c r="D909" s="7"/>
    </row>
    <row r="910" spans="1:4" ht="14.95" thickBot="1" x14ac:dyDescent="0.35">
      <c r="A910" s="7"/>
      <c r="B910" s="7"/>
      <c r="C910" s="7"/>
      <c r="D910" s="7"/>
    </row>
    <row r="911" spans="1:4" ht="14.95" thickBot="1" x14ac:dyDescent="0.35">
      <c r="A911" s="7"/>
      <c r="B911" s="7"/>
      <c r="C911" s="7"/>
      <c r="D911" s="7"/>
    </row>
    <row r="912" spans="1:4" ht="14.95" thickBot="1" x14ac:dyDescent="0.35">
      <c r="A912" s="7"/>
      <c r="B912" s="7"/>
      <c r="C912" s="7"/>
      <c r="D912" s="7"/>
    </row>
    <row r="913" spans="1:4" ht="14.95" thickBot="1" x14ac:dyDescent="0.35">
      <c r="A913" s="7"/>
      <c r="B913" s="7"/>
      <c r="C913" s="7"/>
      <c r="D913" s="7"/>
    </row>
    <row r="914" spans="1:4" ht="14.95" thickBot="1" x14ac:dyDescent="0.35">
      <c r="A914" s="7"/>
      <c r="B914" s="7"/>
      <c r="C914" s="7"/>
      <c r="D914" s="7"/>
    </row>
    <row r="915" spans="1:4" ht="14.95" thickBot="1" x14ac:dyDescent="0.35">
      <c r="A915" s="7"/>
      <c r="B915" s="7"/>
      <c r="C915" s="7"/>
      <c r="D915" s="7"/>
    </row>
    <row r="916" spans="1:4" ht="14.95" thickBot="1" x14ac:dyDescent="0.35">
      <c r="A916" s="7"/>
      <c r="B916" s="7"/>
      <c r="C916" s="7"/>
      <c r="D916" s="7"/>
    </row>
    <row r="917" spans="1:4" ht="14.95" thickBot="1" x14ac:dyDescent="0.35">
      <c r="A917" s="7"/>
      <c r="B917" s="7"/>
      <c r="C917" s="7"/>
      <c r="D917" s="7"/>
    </row>
    <row r="918" spans="1:4" ht="14.95" thickBot="1" x14ac:dyDescent="0.35">
      <c r="A918" s="7"/>
      <c r="B918" s="7"/>
      <c r="C918" s="7"/>
      <c r="D918" s="7"/>
    </row>
    <row r="919" spans="1:4" ht="14.95" thickBot="1" x14ac:dyDescent="0.35">
      <c r="A919" s="7"/>
      <c r="B919" s="7"/>
      <c r="C919" s="7"/>
      <c r="D919" s="7"/>
    </row>
    <row r="920" spans="1:4" ht="14.95" thickBot="1" x14ac:dyDescent="0.35">
      <c r="A920" s="7"/>
      <c r="B920" s="7"/>
      <c r="C920" s="7"/>
      <c r="D920" s="7"/>
    </row>
    <row r="921" spans="1:4" ht="14.95" thickBot="1" x14ac:dyDescent="0.35">
      <c r="A921" s="7"/>
      <c r="B921" s="7"/>
      <c r="C921" s="7"/>
      <c r="D921" s="7"/>
    </row>
    <row r="922" spans="1:4" ht="14.95" thickBot="1" x14ac:dyDescent="0.35">
      <c r="A922" s="7"/>
      <c r="B922" s="7"/>
      <c r="C922" s="7"/>
      <c r="D922" s="7"/>
    </row>
    <row r="923" spans="1:4" ht="14.95" thickBot="1" x14ac:dyDescent="0.35">
      <c r="A923" s="7"/>
      <c r="B923" s="7"/>
      <c r="C923" s="7"/>
      <c r="D923" s="7"/>
    </row>
    <row r="924" spans="1:4" ht="14.95" thickBot="1" x14ac:dyDescent="0.35">
      <c r="A924" s="7"/>
      <c r="B924" s="7"/>
      <c r="C924" s="7"/>
      <c r="D924" s="7"/>
    </row>
    <row r="925" spans="1:4" ht="14.95" thickBot="1" x14ac:dyDescent="0.35">
      <c r="A925" s="7"/>
      <c r="B925" s="7"/>
      <c r="C925" s="7"/>
      <c r="D925" s="7"/>
    </row>
    <row r="926" spans="1:4" ht="14.95" thickBot="1" x14ac:dyDescent="0.35">
      <c r="A926" s="7"/>
      <c r="B926" s="7"/>
      <c r="C926" s="7"/>
      <c r="D926" s="7"/>
    </row>
    <row r="927" spans="1:4" ht="14.95" thickBot="1" x14ac:dyDescent="0.35">
      <c r="A927" s="7"/>
      <c r="B927" s="7"/>
      <c r="C927" s="7"/>
      <c r="D927" s="7"/>
    </row>
    <row r="928" spans="1:4" ht="14.95" thickBot="1" x14ac:dyDescent="0.35">
      <c r="A928" s="7"/>
      <c r="B928" s="7"/>
      <c r="C928" s="7"/>
      <c r="D928" s="7"/>
    </row>
    <row r="929" spans="1:4" ht="14.95" thickBot="1" x14ac:dyDescent="0.35">
      <c r="A929" s="7"/>
      <c r="B929" s="7"/>
      <c r="C929" s="7"/>
      <c r="D929" s="7"/>
    </row>
    <row r="930" spans="1:4" ht="14.95" thickBot="1" x14ac:dyDescent="0.35">
      <c r="A930" s="7"/>
      <c r="B930" s="7"/>
      <c r="C930" s="7"/>
      <c r="D930" s="7"/>
    </row>
    <row r="931" spans="1:4" ht="14.95" thickBot="1" x14ac:dyDescent="0.35">
      <c r="A931" s="7"/>
      <c r="B931" s="7"/>
      <c r="C931" s="7"/>
      <c r="D931" s="7"/>
    </row>
    <row r="932" spans="1:4" ht="14.95" thickBot="1" x14ac:dyDescent="0.35">
      <c r="A932" s="7"/>
      <c r="B932" s="7"/>
      <c r="C932" s="7"/>
      <c r="D932" s="7"/>
    </row>
    <row r="933" spans="1:4" ht="14.95" thickBot="1" x14ac:dyDescent="0.35">
      <c r="A933" s="7"/>
      <c r="B933" s="7"/>
      <c r="C933" s="7"/>
      <c r="D933" s="7"/>
    </row>
    <row r="934" spans="1:4" ht="14.95" thickBot="1" x14ac:dyDescent="0.35">
      <c r="A934" s="7"/>
      <c r="B934" s="7"/>
      <c r="C934" s="7"/>
      <c r="D934" s="7"/>
    </row>
    <row r="935" spans="1:4" ht="14.95" thickBot="1" x14ac:dyDescent="0.35">
      <c r="A935" s="7"/>
      <c r="B935" s="7"/>
      <c r="C935" s="7"/>
      <c r="D935" s="7"/>
    </row>
    <row r="936" spans="1:4" ht="14.95" thickBot="1" x14ac:dyDescent="0.35">
      <c r="A936" s="7"/>
      <c r="B936" s="7"/>
      <c r="C936" s="7"/>
      <c r="D936" s="7"/>
    </row>
    <row r="937" spans="1:4" ht="14.95" thickBot="1" x14ac:dyDescent="0.35">
      <c r="A937" s="7"/>
      <c r="B937" s="7"/>
      <c r="C937" s="7"/>
      <c r="D937" s="7"/>
    </row>
    <row r="938" spans="1:4" ht="14.95" thickBot="1" x14ac:dyDescent="0.35">
      <c r="A938" s="7"/>
      <c r="B938" s="7"/>
      <c r="C938" s="7"/>
      <c r="D938" s="7"/>
    </row>
    <row r="939" spans="1:4" ht="14.95" thickBot="1" x14ac:dyDescent="0.35">
      <c r="A939" s="7"/>
      <c r="B939" s="7"/>
      <c r="C939" s="7"/>
      <c r="D939" s="7"/>
    </row>
    <row r="940" spans="1:4" ht="14.95" thickBot="1" x14ac:dyDescent="0.35">
      <c r="A940" s="7"/>
      <c r="B940" s="7"/>
      <c r="C940" s="7"/>
      <c r="D940" s="7"/>
    </row>
    <row r="941" spans="1:4" ht="14.95" thickBot="1" x14ac:dyDescent="0.35">
      <c r="A941" s="7"/>
      <c r="B941" s="7"/>
      <c r="C941" s="7"/>
      <c r="D941" s="7"/>
    </row>
    <row r="942" spans="1:4" ht="14.95" thickBot="1" x14ac:dyDescent="0.35">
      <c r="A942" s="7"/>
      <c r="B942" s="7"/>
      <c r="C942" s="7"/>
      <c r="D942" s="7"/>
    </row>
    <row r="943" spans="1:4" ht="14.95" thickBot="1" x14ac:dyDescent="0.35">
      <c r="A943" s="7"/>
      <c r="B943" s="7"/>
      <c r="C943" s="7"/>
      <c r="D943" s="7"/>
    </row>
    <row r="944" spans="1:4" ht="14.95" thickBot="1" x14ac:dyDescent="0.35">
      <c r="A944" s="7"/>
      <c r="B944" s="7"/>
      <c r="C944" s="7"/>
      <c r="D944" s="7"/>
    </row>
    <row r="945" spans="1:4" ht="14.95" thickBot="1" x14ac:dyDescent="0.35">
      <c r="A945" s="7"/>
      <c r="B945" s="7"/>
      <c r="C945" s="7"/>
      <c r="D945" s="7"/>
    </row>
    <row r="946" spans="1:4" ht="14.95" thickBot="1" x14ac:dyDescent="0.35">
      <c r="A946" s="7"/>
      <c r="B946" s="7"/>
      <c r="C946" s="7"/>
      <c r="D946" s="7"/>
    </row>
    <row r="947" spans="1:4" ht="14.95" thickBot="1" x14ac:dyDescent="0.35">
      <c r="A947" s="7"/>
      <c r="B947" s="7"/>
      <c r="C947" s="7"/>
      <c r="D947" s="7"/>
    </row>
    <row r="948" spans="1:4" ht="14.95" thickBot="1" x14ac:dyDescent="0.35">
      <c r="A948" s="7"/>
      <c r="B948" s="7"/>
      <c r="C948" s="7"/>
      <c r="D948" s="7"/>
    </row>
    <row r="949" spans="1:4" ht="14.95" thickBot="1" x14ac:dyDescent="0.35">
      <c r="A949" s="7"/>
      <c r="B949" s="7"/>
      <c r="C949" s="7"/>
      <c r="D949" s="7"/>
    </row>
    <row r="950" spans="1:4" ht="14.95" thickBot="1" x14ac:dyDescent="0.35">
      <c r="A950" s="7"/>
      <c r="B950" s="7"/>
      <c r="C950" s="7"/>
      <c r="D950" s="7"/>
    </row>
    <row r="951" spans="1:4" ht="14.95" thickBot="1" x14ac:dyDescent="0.35">
      <c r="A951" s="7"/>
      <c r="B951" s="7"/>
      <c r="C951" s="7"/>
      <c r="D951" s="7"/>
    </row>
    <row r="952" spans="1:4" ht="14.95" thickBot="1" x14ac:dyDescent="0.35">
      <c r="A952" s="7"/>
      <c r="B952" s="7"/>
      <c r="C952" s="7"/>
      <c r="D952" s="7"/>
    </row>
    <row r="953" spans="1:4" ht="14.95" thickBot="1" x14ac:dyDescent="0.35">
      <c r="A953" s="7"/>
      <c r="B953" s="7"/>
      <c r="C953" s="7"/>
      <c r="D953" s="7"/>
    </row>
    <row r="954" spans="1:4" ht="14.95" thickBot="1" x14ac:dyDescent="0.35">
      <c r="A954" s="7"/>
      <c r="B954" s="7"/>
      <c r="C954" s="7"/>
      <c r="D954" s="7"/>
    </row>
    <row r="955" spans="1:4" ht="14.95" thickBot="1" x14ac:dyDescent="0.35">
      <c r="A955" s="7"/>
      <c r="B955" s="7"/>
      <c r="C955" s="7"/>
      <c r="D955" s="7"/>
    </row>
    <row r="956" spans="1:4" ht="14.95" thickBot="1" x14ac:dyDescent="0.35">
      <c r="A956" s="7"/>
      <c r="B956" s="7"/>
      <c r="C956" s="7"/>
      <c r="D956" s="7"/>
    </row>
    <row r="957" spans="1:4" ht="14.95" thickBot="1" x14ac:dyDescent="0.35">
      <c r="A957" s="7"/>
      <c r="B957" s="7"/>
      <c r="C957" s="7"/>
      <c r="D957" s="7"/>
    </row>
    <row r="958" spans="1:4" ht="14.95" thickBot="1" x14ac:dyDescent="0.35">
      <c r="A958" s="7"/>
      <c r="B958" s="7"/>
      <c r="C958" s="7"/>
      <c r="D958" s="7"/>
    </row>
    <row r="959" spans="1:4" ht="14.95" thickBot="1" x14ac:dyDescent="0.35">
      <c r="A959" s="7"/>
      <c r="B959" s="7"/>
      <c r="C959" s="7"/>
      <c r="D959" s="7"/>
    </row>
    <row r="960" spans="1:4" ht="14.95" thickBot="1" x14ac:dyDescent="0.35">
      <c r="A960" s="7"/>
      <c r="B960" s="7"/>
      <c r="C960" s="7"/>
      <c r="D960" s="7"/>
    </row>
    <row r="961" spans="1:4" ht="14.95" thickBot="1" x14ac:dyDescent="0.35">
      <c r="A961" s="7"/>
      <c r="B961" s="7"/>
      <c r="C961" s="7"/>
      <c r="D961" s="7"/>
    </row>
    <row r="962" spans="1:4" ht="14.95" thickBot="1" x14ac:dyDescent="0.35">
      <c r="A962" s="7"/>
      <c r="B962" s="7"/>
      <c r="C962" s="7"/>
      <c r="D962" s="7"/>
    </row>
    <row r="963" spans="1:4" ht="14.95" thickBot="1" x14ac:dyDescent="0.35">
      <c r="A963" s="7"/>
      <c r="B963" s="7"/>
      <c r="C963" s="7"/>
      <c r="D963" s="7"/>
    </row>
    <row r="964" spans="1:4" ht="14.95" thickBot="1" x14ac:dyDescent="0.35">
      <c r="A964" s="7"/>
      <c r="B964" s="7"/>
      <c r="C964" s="7"/>
      <c r="D964" s="7"/>
    </row>
    <row r="965" spans="1:4" ht="14.95" thickBot="1" x14ac:dyDescent="0.35">
      <c r="A965" s="7"/>
      <c r="B965" s="7"/>
      <c r="C965" s="7"/>
      <c r="D965" s="7"/>
    </row>
    <row r="966" spans="1:4" ht="14.95" thickBot="1" x14ac:dyDescent="0.35">
      <c r="A966" s="7"/>
      <c r="B966" s="7"/>
      <c r="C966" s="7"/>
      <c r="D966" s="7"/>
    </row>
    <row r="967" spans="1:4" ht="14.95" thickBot="1" x14ac:dyDescent="0.35">
      <c r="A967" s="7"/>
      <c r="B967" s="7"/>
      <c r="C967" s="7"/>
      <c r="D967" s="7"/>
    </row>
    <row r="968" spans="1:4" ht="14.95" thickBot="1" x14ac:dyDescent="0.35">
      <c r="A968" s="7"/>
      <c r="B968" s="7"/>
      <c r="C968" s="7"/>
      <c r="D968" s="7"/>
    </row>
    <row r="969" spans="1:4" ht="14.95" thickBot="1" x14ac:dyDescent="0.35">
      <c r="A969" s="7"/>
      <c r="B969" s="7"/>
      <c r="C969" s="7"/>
      <c r="D969" s="7"/>
    </row>
    <row r="970" spans="1:4" ht="14.95" thickBot="1" x14ac:dyDescent="0.35">
      <c r="A970" s="7"/>
      <c r="B970" s="7"/>
      <c r="C970" s="7"/>
      <c r="D970" s="7"/>
    </row>
    <row r="971" spans="1:4" ht="14.95" thickBot="1" x14ac:dyDescent="0.35">
      <c r="A971" s="7"/>
      <c r="B971" s="7"/>
      <c r="C971" s="7"/>
      <c r="D971" s="7"/>
    </row>
    <row r="972" spans="1:4" ht="14.95" thickBot="1" x14ac:dyDescent="0.35">
      <c r="A972" s="7"/>
      <c r="B972" s="7"/>
      <c r="C972" s="7"/>
      <c r="D972" s="7"/>
    </row>
    <row r="973" spans="1:4" ht="14.95" thickBot="1" x14ac:dyDescent="0.35">
      <c r="A973" s="7"/>
      <c r="B973" s="7"/>
      <c r="C973" s="7"/>
      <c r="D973" s="7"/>
    </row>
    <row r="974" spans="1:4" ht="14.95" thickBot="1" x14ac:dyDescent="0.35">
      <c r="A974" s="7"/>
      <c r="B974" s="7"/>
      <c r="C974" s="7"/>
      <c r="D974" s="7"/>
    </row>
    <row r="975" spans="1:4" ht="14.95" thickBot="1" x14ac:dyDescent="0.35">
      <c r="A975" s="7"/>
      <c r="B975" s="7"/>
      <c r="C975" s="7"/>
      <c r="D975" s="7"/>
    </row>
    <row r="976" spans="1:4" ht="14.95" thickBot="1" x14ac:dyDescent="0.35">
      <c r="A976" s="7"/>
      <c r="B976" s="7"/>
      <c r="C976" s="7"/>
      <c r="D976" s="7"/>
    </row>
    <row r="977" spans="1:4" ht="14.95" thickBot="1" x14ac:dyDescent="0.35">
      <c r="A977" s="7"/>
      <c r="B977" s="7"/>
      <c r="C977" s="7"/>
      <c r="D977" s="7"/>
    </row>
    <row r="978" spans="1:4" ht="14.95" thickBot="1" x14ac:dyDescent="0.35">
      <c r="A978" s="7"/>
      <c r="B978" s="7"/>
      <c r="C978" s="7"/>
      <c r="D978" s="7"/>
    </row>
    <row r="979" spans="1:4" ht="14.95" thickBot="1" x14ac:dyDescent="0.35">
      <c r="A979" s="7"/>
      <c r="B979" s="7"/>
      <c r="C979" s="7"/>
      <c r="D979" s="7"/>
    </row>
    <row r="980" spans="1:4" ht="14.95" thickBot="1" x14ac:dyDescent="0.35">
      <c r="A980" s="7"/>
      <c r="B980" s="7"/>
      <c r="C980" s="7"/>
      <c r="D980" s="7"/>
    </row>
    <row r="981" spans="1:4" ht="14.95" thickBot="1" x14ac:dyDescent="0.35">
      <c r="A981" s="7"/>
      <c r="B981" s="7"/>
      <c r="C981" s="7"/>
      <c r="D981" s="7"/>
    </row>
    <row r="982" spans="1:4" ht="14.95" thickBot="1" x14ac:dyDescent="0.35">
      <c r="A982" s="7"/>
      <c r="B982" s="7"/>
      <c r="C982" s="7"/>
      <c r="D982" s="7"/>
    </row>
    <row r="983" spans="1:4" ht="14.95" thickBot="1" x14ac:dyDescent="0.35">
      <c r="A983" s="7"/>
      <c r="B983" s="7"/>
      <c r="C983" s="7"/>
      <c r="D983" s="7"/>
    </row>
    <row r="984" spans="1:4" ht="14.95" thickBot="1" x14ac:dyDescent="0.35">
      <c r="A984" s="7"/>
      <c r="B984" s="7"/>
      <c r="C984" s="7"/>
      <c r="D984" s="7"/>
    </row>
    <row r="985" spans="1:4" ht="14.95" thickBot="1" x14ac:dyDescent="0.35">
      <c r="A985" s="7"/>
      <c r="B985" s="7"/>
      <c r="C985" s="7"/>
      <c r="D985" s="7"/>
    </row>
    <row r="986" spans="1:4" ht="14.95" thickBot="1" x14ac:dyDescent="0.35">
      <c r="A986" s="7"/>
      <c r="B986" s="7"/>
      <c r="C986" s="7"/>
      <c r="D986" s="7"/>
    </row>
    <row r="987" spans="1:4" ht="14.95" thickBot="1" x14ac:dyDescent="0.35">
      <c r="A987" s="7"/>
      <c r="B987" s="7"/>
      <c r="C987" s="7"/>
      <c r="D987" s="7"/>
    </row>
    <row r="988" spans="1:4" ht="14.95" thickBot="1" x14ac:dyDescent="0.35">
      <c r="A988" s="7"/>
      <c r="B988" s="7"/>
      <c r="C988" s="7"/>
      <c r="D988" s="7"/>
    </row>
    <row r="989" spans="1:4" ht="14.95" thickBot="1" x14ac:dyDescent="0.35">
      <c r="A989" s="7"/>
      <c r="B989" s="7"/>
      <c r="C989" s="7"/>
      <c r="D989" s="7"/>
    </row>
    <row r="990" spans="1:4" ht="14.95" thickBot="1" x14ac:dyDescent="0.35">
      <c r="A990" s="7"/>
      <c r="B990" s="7"/>
      <c r="C990" s="7"/>
      <c r="D990" s="7"/>
    </row>
    <row r="991" spans="1:4" ht="14.95" thickBot="1" x14ac:dyDescent="0.35">
      <c r="A991" s="7"/>
      <c r="B991" s="7"/>
      <c r="C991" s="7"/>
      <c r="D991" s="7"/>
    </row>
    <row r="992" spans="1:4" ht="14.95" thickBot="1" x14ac:dyDescent="0.35">
      <c r="A992" s="7"/>
      <c r="B992" s="7"/>
      <c r="C992" s="7"/>
      <c r="D992" s="7"/>
    </row>
    <row r="993" spans="1:4" ht="14.95" thickBot="1" x14ac:dyDescent="0.35">
      <c r="A993" s="7"/>
      <c r="B993" s="7"/>
      <c r="C993" s="7"/>
      <c r="D993" s="7"/>
    </row>
    <row r="994" spans="1:4" ht="14.95" thickBot="1" x14ac:dyDescent="0.35">
      <c r="A994" s="7"/>
      <c r="B994" s="7"/>
      <c r="C994" s="7"/>
      <c r="D994" s="7"/>
    </row>
    <row r="995" spans="1:4" ht="14.95" thickBot="1" x14ac:dyDescent="0.35">
      <c r="A995" s="7"/>
      <c r="B995" s="7"/>
      <c r="C995" s="7"/>
      <c r="D995" s="7"/>
    </row>
    <row r="996" spans="1:4" ht="14.95" thickBot="1" x14ac:dyDescent="0.35">
      <c r="A996" s="7"/>
      <c r="B996" s="7"/>
      <c r="C996" s="7"/>
      <c r="D996" s="7"/>
    </row>
    <row r="997" spans="1:4" ht="14.95" thickBot="1" x14ac:dyDescent="0.35">
      <c r="A997" s="7"/>
      <c r="B997" s="7"/>
      <c r="C997" s="7"/>
      <c r="D997" s="7"/>
    </row>
    <row r="998" spans="1:4" ht="14.95" thickBot="1" x14ac:dyDescent="0.35">
      <c r="A998" s="7"/>
      <c r="B998" s="7"/>
      <c r="C998" s="7"/>
      <c r="D998" s="7"/>
    </row>
    <row r="999" spans="1:4" ht="14.95" thickBot="1" x14ac:dyDescent="0.35">
      <c r="A999" s="7"/>
      <c r="B999" s="7"/>
      <c r="C999" s="7"/>
      <c r="D999" s="7"/>
    </row>
    <row r="1000" spans="1:4" ht="14.95" thickBot="1" x14ac:dyDescent="0.35">
      <c r="A1000" s="7"/>
      <c r="B1000" s="7"/>
      <c r="C1000" s="7"/>
      <c r="D1000" s="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3949-5E27-4344-B720-C0D52798C91C}">
  <dimension ref="A1:G9"/>
  <sheetViews>
    <sheetView workbookViewId="0">
      <selection activeCell="G15" sqref="G15"/>
    </sheetView>
  </sheetViews>
  <sheetFormatPr defaultRowHeight="14.4" x14ac:dyDescent="0.3"/>
  <cols>
    <col min="1" max="1" width="14.69921875" bestFit="1" customWidth="1"/>
    <col min="2" max="2" width="17.3984375" bestFit="1" customWidth="1"/>
    <col min="3" max="3" width="21.59765625" bestFit="1" customWidth="1"/>
    <col min="4" max="4" width="11.296875" bestFit="1" customWidth="1"/>
    <col min="5" max="5" width="15.5" bestFit="1" customWidth="1"/>
    <col min="6" max="6" width="11.8984375" bestFit="1" customWidth="1"/>
    <col min="7" max="7" width="16.09765625" bestFit="1" customWidth="1"/>
  </cols>
  <sheetData>
    <row r="1" spans="1:7" x14ac:dyDescent="0.3">
      <c r="A1" s="29" t="s">
        <v>437</v>
      </c>
      <c r="B1" s="30"/>
      <c r="C1" s="30"/>
    </row>
    <row r="3" spans="1:7" x14ac:dyDescent="0.3">
      <c r="A3" s="13" t="s">
        <v>38</v>
      </c>
      <c r="B3" t="s">
        <v>41</v>
      </c>
      <c r="C3" t="s">
        <v>44</v>
      </c>
      <c r="D3" t="s">
        <v>42</v>
      </c>
      <c r="E3" t="s">
        <v>45</v>
      </c>
      <c r="F3" t="s">
        <v>43</v>
      </c>
      <c r="G3" t="s">
        <v>46</v>
      </c>
    </row>
    <row r="4" spans="1:7" x14ac:dyDescent="0.3">
      <c r="A4" s="14" t="s">
        <v>19</v>
      </c>
      <c r="B4" s="28">
        <v>2464864</v>
      </c>
      <c r="C4" s="28">
        <v>34716.394366197186</v>
      </c>
      <c r="D4" s="28">
        <v>187909</v>
      </c>
      <c r="E4" s="28">
        <v>2646.605633802817</v>
      </c>
      <c r="F4" s="28">
        <v>10689</v>
      </c>
      <c r="G4" s="28">
        <v>150.54929577464787</v>
      </c>
    </row>
    <row r="5" spans="1:7" x14ac:dyDescent="0.3">
      <c r="A5" s="14" t="s">
        <v>11</v>
      </c>
      <c r="B5" s="28">
        <v>1986356</v>
      </c>
      <c r="C5" s="28">
        <v>34247.517241379312</v>
      </c>
      <c r="D5" s="28">
        <v>159783</v>
      </c>
      <c r="E5" s="28">
        <v>2754.8793103448274</v>
      </c>
      <c r="F5" s="28">
        <v>9872</v>
      </c>
      <c r="G5" s="28">
        <v>170.20689655172413</v>
      </c>
    </row>
    <row r="6" spans="1:7" x14ac:dyDescent="0.3">
      <c r="A6" s="14" t="s">
        <v>15</v>
      </c>
      <c r="B6" s="28">
        <v>2266053</v>
      </c>
      <c r="C6" s="28">
        <v>33821.686567164179</v>
      </c>
      <c r="D6" s="28">
        <v>183346</v>
      </c>
      <c r="E6" s="28">
        <v>2736.5074626865671</v>
      </c>
      <c r="F6" s="28">
        <v>10032</v>
      </c>
      <c r="G6" s="28">
        <v>149.73134328358208</v>
      </c>
    </row>
    <row r="7" spans="1:7" x14ac:dyDescent="0.3">
      <c r="A7" s="14" t="s">
        <v>7</v>
      </c>
      <c r="B7" s="28">
        <v>1846272</v>
      </c>
      <c r="C7" s="28">
        <v>38464</v>
      </c>
      <c r="D7" s="28">
        <v>138793</v>
      </c>
      <c r="E7" s="28">
        <v>2891.5208333333335</v>
      </c>
      <c r="F7" s="28">
        <v>6434</v>
      </c>
      <c r="G7" s="28">
        <v>134.04166666666666</v>
      </c>
    </row>
    <row r="8" spans="1:7" x14ac:dyDescent="0.3">
      <c r="A8" s="14" t="s">
        <v>39</v>
      </c>
      <c r="B8" s="28">
        <v>1830608</v>
      </c>
      <c r="C8" s="28">
        <v>32689.428571428572</v>
      </c>
      <c r="D8" s="28">
        <v>150160</v>
      </c>
      <c r="E8" s="28">
        <v>2681.4285714285716</v>
      </c>
      <c r="F8" s="28">
        <v>8339</v>
      </c>
      <c r="G8" s="28">
        <v>148.91071428571428</v>
      </c>
    </row>
    <row r="9" spans="1:7" x14ac:dyDescent="0.3">
      <c r="A9" s="14" t="s">
        <v>40</v>
      </c>
      <c r="B9" s="28">
        <v>10394153</v>
      </c>
      <c r="C9" s="28">
        <v>34647.176666666666</v>
      </c>
      <c r="D9" s="28">
        <v>819991</v>
      </c>
      <c r="E9" s="28">
        <v>2733.3033333333333</v>
      </c>
      <c r="F9" s="28">
        <v>45366</v>
      </c>
      <c r="G9" s="28">
        <v>151.22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7430-00E9-4D5F-A4E4-6351B5DEAFBA}">
  <dimension ref="A3:J14"/>
  <sheetViews>
    <sheetView workbookViewId="0">
      <selection activeCell="D22" sqref="D22"/>
    </sheetView>
  </sheetViews>
  <sheetFormatPr defaultRowHeight="14.4" x14ac:dyDescent="0.3"/>
  <cols>
    <col min="1" max="1" width="14.796875" bestFit="1" customWidth="1"/>
    <col min="2" max="2" width="15.59765625" bestFit="1" customWidth="1"/>
    <col min="3" max="3" width="15.296875" bestFit="1" customWidth="1"/>
    <col min="4" max="4" width="20.796875" bestFit="1" customWidth="1"/>
    <col min="5" max="5" width="14.796875" bestFit="1" customWidth="1"/>
    <col min="6" max="6" width="15.296875" bestFit="1" customWidth="1"/>
    <col min="7" max="7" width="20.796875" bestFit="1" customWidth="1"/>
    <col min="8" max="8" width="19.59765625" bestFit="1" customWidth="1"/>
    <col min="9" max="9" width="20.09765625" bestFit="1" customWidth="1"/>
    <col min="10" max="10" width="25.69921875" bestFit="1" customWidth="1"/>
    <col min="11" max="11" width="19.59765625" bestFit="1" customWidth="1"/>
    <col min="12" max="12" width="20.09765625" bestFit="1" customWidth="1"/>
    <col min="13" max="13" width="25.69921875" bestFit="1" customWidth="1"/>
  </cols>
  <sheetData>
    <row r="3" spans="1:10" x14ac:dyDescent="0.3">
      <c r="B3" s="13" t="s">
        <v>404</v>
      </c>
    </row>
    <row r="4" spans="1:10" x14ac:dyDescent="0.3">
      <c r="B4" t="s">
        <v>405</v>
      </c>
      <c r="E4" t="s">
        <v>406</v>
      </c>
      <c r="H4" t="s">
        <v>407</v>
      </c>
      <c r="I4" t="s">
        <v>409</v>
      </c>
      <c r="J4" t="s">
        <v>411</v>
      </c>
    </row>
    <row r="5" spans="1:10" x14ac:dyDescent="0.3">
      <c r="A5" s="13" t="s">
        <v>38</v>
      </c>
      <c r="B5" t="s">
        <v>408</v>
      </c>
      <c r="C5" t="s">
        <v>410</v>
      </c>
      <c r="D5" t="s">
        <v>412</v>
      </c>
      <c r="E5" t="s">
        <v>408</v>
      </c>
      <c r="F5" t="s">
        <v>410</v>
      </c>
      <c r="G5" t="s">
        <v>412</v>
      </c>
    </row>
    <row r="6" spans="1:10" x14ac:dyDescent="0.3">
      <c r="A6" s="14" t="s">
        <v>19</v>
      </c>
      <c r="B6">
        <v>2695.3015873015875</v>
      </c>
      <c r="C6">
        <v>151.1904761904762</v>
      </c>
      <c r="D6">
        <v>35151.015873015873</v>
      </c>
      <c r="E6">
        <v>2263.125</v>
      </c>
      <c r="F6">
        <v>145.5</v>
      </c>
      <c r="G6">
        <v>31293.75</v>
      </c>
      <c r="H6">
        <v>2646.605633802817</v>
      </c>
      <c r="I6">
        <v>150.54929577464787</v>
      </c>
      <c r="J6">
        <v>34716.394366197186</v>
      </c>
    </row>
    <row r="7" spans="1:10" x14ac:dyDescent="0.3">
      <c r="A7" s="14" t="s">
        <v>11</v>
      </c>
      <c r="B7">
        <v>2740.294117647059</v>
      </c>
      <c r="C7">
        <v>163.68627450980392</v>
      </c>
      <c r="D7">
        <v>34716.196078431371</v>
      </c>
      <c r="E7">
        <v>2861.1428571428573</v>
      </c>
      <c r="F7">
        <v>217.71428571428572</v>
      </c>
      <c r="G7">
        <v>30832.857142857141</v>
      </c>
      <c r="H7">
        <v>2754.8793103448274</v>
      </c>
      <c r="I7">
        <v>170.20689655172413</v>
      </c>
      <c r="J7">
        <v>34247.517241379312</v>
      </c>
    </row>
    <row r="8" spans="1:10" x14ac:dyDescent="0.3">
      <c r="A8" s="14" t="s">
        <v>15</v>
      </c>
      <c r="B8">
        <v>2751.3125</v>
      </c>
      <c r="C8">
        <v>148.328125</v>
      </c>
      <c r="D8">
        <v>34592.265625</v>
      </c>
      <c r="E8">
        <v>2420.6666666666665</v>
      </c>
      <c r="F8">
        <v>179.66666666666666</v>
      </c>
      <c r="G8">
        <v>17382.666666666668</v>
      </c>
      <c r="H8">
        <v>2736.5074626865671</v>
      </c>
      <c r="I8">
        <v>149.73134328358208</v>
      </c>
      <c r="J8">
        <v>33821.686567164179</v>
      </c>
    </row>
    <row r="9" spans="1:10" x14ac:dyDescent="0.3">
      <c r="A9" s="14" t="s">
        <v>7</v>
      </c>
      <c r="B9">
        <v>2883.4186046511627</v>
      </c>
      <c r="C9">
        <v>129.90697674418604</v>
      </c>
      <c r="D9">
        <v>36718.534883720931</v>
      </c>
      <c r="E9">
        <v>2961.2</v>
      </c>
      <c r="F9">
        <v>169.6</v>
      </c>
      <c r="G9">
        <v>53475</v>
      </c>
      <c r="H9">
        <v>2891.5208333333335</v>
      </c>
      <c r="I9">
        <v>134.04166666666666</v>
      </c>
      <c r="J9">
        <v>38464</v>
      </c>
    </row>
    <row r="10" spans="1:10" x14ac:dyDescent="0.3">
      <c r="A10" s="14" t="s">
        <v>40</v>
      </c>
      <c r="B10">
        <v>2758.5067873303169</v>
      </c>
      <c r="C10">
        <v>149.10407239819006</v>
      </c>
      <c r="D10">
        <v>35193.855203619911</v>
      </c>
      <c r="E10">
        <v>2617.4347826086955</v>
      </c>
      <c r="F10">
        <v>177.17391304347825</v>
      </c>
      <c r="G10">
        <v>34161</v>
      </c>
      <c r="H10">
        <v>2745.2090163934427</v>
      </c>
      <c r="I10">
        <v>151.75</v>
      </c>
      <c r="J10">
        <v>35096.495901639348</v>
      </c>
    </row>
    <row r="14" spans="1:10" x14ac:dyDescent="0.3">
      <c r="A14" s="29" t="s">
        <v>438</v>
      </c>
      <c r="B14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0F58-3271-45FD-99BB-FEF49D84F3AD}">
  <dimension ref="A1:G9"/>
  <sheetViews>
    <sheetView workbookViewId="0">
      <selection activeCell="A9" sqref="A9"/>
    </sheetView>
  </sheetViews>
  <sheetFormatPr defaultRowHeight="14.4" x14ac:dyDescent="0.3"/>
  <cols>
    <col min="1" max="1" width="17" customWidth="1"/>
    <col min="2" max="2" width="11.69921875" customWidth="1"/>
    <col min="3" max="3" width="12.19921875" customWidth="1"/>
    <col min="4" max="4" width="12.296875" customWidth="1"/>
    <col min="5" max="5" width="18.3984375" customWidth="1"/>
    <col min="7" max="7" width="14.796875" bestFit="1" customWidth="1"/>
  </cols>
  <sheetData>
    <row r="1" spans="1:7" x14ac:dyDescent="0.3">
      <c r="A1" t="s">
        <v>0</v>
      </c>
      <c r="B1" t="s">
        <v>28</v>
      </c>
      <c r="C1" t="s">
        <v>413</v>
      </c>
      <c r="D1" t="s">
        <v>414</v>
      </c>
      <c r="E1" t="s">
        <v>415</v>
      </c>
      <c r="F1" t="s">
        <v>416</v>
      </c>
    </row>
    <row r="2" spans="1:7" x14ac:dyDescent="0.3">
      <c r="A2" t="s">
        <v>7</v>
      </c>
      <c r="B2">
        <v>150000</v>
      </c>
      <c r="C2">
        <v>138793</v>
      </c>
      <c r="D2">
        <v>6434</v>
      </c>
      <c r="E2">
        <f xml:space="preserve"> C2 + D2</f>
        <v>145227</v>
      </c>
      <c r="F2">
        <f xml:space="preserve"> E2 / B2</f>
        <v>0.96818000000000004</v>
      </c>
    </row>
    <row r="3" spans="1:7" x14ac:dyDescent="0.3">
      <c r="A3" t="s">
        <v>11</v>
      </c>
      <c r="B3">
        <v>200000</v>
      </c>
      <c r="C3">
        <v>159783</v>
      </c>
      <c r="D3">
        <v>9872</v>
      </c>
      <c r="E3">
        <f xml:space="preserve"> C3 + D3</f>
        <v>169655</v>
      </c>
      <c r="F3">
        <f xml:space="preserve"> E3 / B3</f>
        <v>0.848275</v>
      </c>
    </row>
    <row r="4" spans="1:7" x14ac:dyDescent="0.3">
      <c r="A4" t="s">
        <v>15</v>
      </c>
      <c r="B4">
        <v>250000</v>
      </c>
      <c r="C4">
        <v>183346</v>
      </c>
      <c r="D4">
        <v>10032</v>
      </c>
      <c r="E4">
        <f xml:space="preserve"> C4 + D4</f>
        <v>193378</v>
      </c>
      <c r="F4">
        <f xml:space="preserve"> E4 / B4</f>
        <v>0.77351199999999998</v>
      </c>
      <c r="G4" s="14"/>
    </row>
    <row r="5" spans="1:7" x14ac:dyDescent="0.3">
      <c r="A5" t="s">
        <v>19</v>
      </c>
      <c r="B5">
        <v>180000</v>
      </c>
      <c r="C5">
        <v>187909</v>
      </c>
      <c r="D5">
        <v>10689</v>
      </c>
      <c r="E5">
        <f xml:space="preserve"> C5 + D5</f>
        <v>198598</v>
      </c>
      <c r="F5">
        <f xml:space="preserve"> E5 / B5</f>
        <v>1.1033222222222223</v>
      </c>
      <c r="G5" s="14"/>
    </row>
    <row r="6" spans="1:7" x14ac:dyDescent="0.3">
      <c r="A6" s="14"/>
      <c r="G6" s="14"/>
    </row>
    <row r="7" spans="1:7" x14ac:dyDescent="0.3">
      <c r="G7" s="14"/>
    </row>
    <row r="8" spans="1:7" x14ac:dyDescent="0.3">
      <c r="G8" s="14"/>
    </row>
    <row r="9" spans="1:7" x14ac:dyDescent="0.3">
      <c r="G9" s="1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F11A-F4C1-4512-915D-F9CFC0084DA0}">
  <dimension ref="A1:B8"/>
  <sheetViews>
    <sheetView workbookViewId="0"/>
  </sheetViews>
  <sheetFormatPr defaultRowHeight="14.4" x14ac:dyDescent="0.3"/>
  <cols>
    <col min="1" max="1" width="14.796875" bestFit="1" customWidth="1"/>
    <col min="2" max="2" width="26.19921875" bestFit="1" customWidth="1"/>
  </cols>
  <sheetData>
    <row r="1" spans="1:2" x14ac:dyDescent="0.3">
      <c r="A1" t="s">
        <v>424</v>
      </c>
    </row>
    <row r="3" spans="1:2" x14ac:dyDescent="0.3">
      <c r="A3" s="13" t="s">
        <v>38</v>
      </c>
      <c r="B3" t="s">
        <v>423</v>
      </c>
    </row>
    <row r="4" spans="1:2" x14ac:dyDescent="0.3">
      <c r="A4" s="14" t="s">
        <v>19</v>
      </c>
      <c r="B4">
        <v>16078</v>
      </c>
    </row>
    <row r="5" spans="1:2" x14ac:dyDescent="0.3">
      <c r="A5" s="14" t="s">
        <v>7</v>
      </c>
      <c r="B5">
        <v>13523</v>
      </c>
    </row>
    <row r="6" spans="1:2" x14ac:dyDescent="0.3">
      <c r="A6" s="14" t="s">
        <v>11</v>
      </c>
      <c r="B6">
        <v>11092</v>
      </c>
    </row>
    <row r="7" spans="1:2" x14ac:dyDescent="0.3">
      <c r="A7" s="14" t="s">
        <v>15</v>
      </c>
      <c r="B7">
        <v>10087</v>
      </c>
    </row>
    <row r="8" spans="1:2" x14ac:dyDescent="0.3">
      <c r="A8" s="14" t="s">
        <v>40</v>
      </c>
      <c r="B8">
        <v>50780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7C3B-6949-4E60-A4F1-4F32A61D7203}">
  <dimension ref="A1:M19"/>
  <sheetViews>
    <sheetView zoomScale="102" workbookViewId="0">
      <selection activeCell="K17" sqref="K17"/>
    </sheetView>
  </sheetViews>
  <sheetFormatPr defaultRowHeight="14.4" x14ac:dyDescent="0.3"/>
  <cols>
    <col min="1" max="1" width="77.59765625" bestFit="1" customWidth="1"/>
    <col min="2" max="2" width="60.09765625" bestFit="1" customWidth="1"/>
    <col min="3" max="3" width="68.59765625" bestFit="1" customWidth="1"/>
  </cols>
  <sheetData>
    <row r="1" spans="1:3" x14ac:dyDescent="0.3">
      <c r="A1" t="s">
        <v>425</v>
      </c>
      <c r="B1" t="s">
        <v>426</v>
      </c>
      <c r="C1" t="s">
        <v>427</v>
      </c>
    </row>
    <row r="3" spans="1:3" x14ac:dyDescent="0.3">
      <c r="A3" t="s">
        <v>428</v>
      </c>
      <c r="B3" t="s">
        <v>429</v>
      </c>
    </row>
    <row r="5" spans="1:3" x14ac:dyDescent="0.3">
      <c r="A5" t="s">
        <v>430</v>
      </c>
      <c r="B5" t="s">
        <v>431</v>
      </c>
    </row>
    <row r="7" spans="1:3" x14ac:dyDescent="0.3">
      <c r="A7" t="s">
        <v>432</v>
      </c>
      <c r="B7" t="s">
        <v>433</v>
      </c>
    </row>
    <row r="9" spans="1:3" x14ac:dyDescent="0.3">
      <c r="A9" t="s">
        <v>434</v>
      </c>
      <c r="B9" t="s">
        <v>435</v>
      </c>
      <c r="C9" t="s">
        <v>436</v>
      </c>
    </row>
    <row r="19" spans="13:13" x14ac:dyDescent="0.3">
      <c r="M19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6089FB-BEDC-4A38-B55E-B835CC221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Raw_Posts</vt:lpstr>
      <vt:lpstr>Cleaned_Posts </vt:lpstr>
      <vt:lpstr>Cleaned_Engagement</vt:lpstr>
      <vt:lpstr>Raw_Campaign_Data</vt:lpstr>
      <vt:lpstr>Cleaned_Campaign_Data</vt:lpstr>
      <vt:lpstr>Campaign_Performance</vt:lpstr>
      <vt:lpstr>Campaign_Metrics_Summary</vt:lpstr>
      <vt:lpstr>Campaign_Uplift_Analysis</vt:lpstr>
      <vt:lpstr>ROI_Analysis</vt:lpstr>
      <vt:lpstr>Follower_Growth_Impact</vt:lpstr>
      <vt:lpstr>Insights_Task5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Reddy</dc:creator>
  <cp:lastModifiedBy>Mani DM</cp:lastModifiedBy>
  <dcterms:created xsi:type="dcterms:W3CDTF">2026-01-09T13:03:45Z</dcterms:created>
  <dcterms:modified xsi:type="dcterms:W3CDTF">2026-01-12T22:23:16Z</dcterms:modified>
</cp:coreProperties>
</file>